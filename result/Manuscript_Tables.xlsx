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onn-my.sharepoint.com/personal/zfranky6_uconn_edu/Documents/Jo_Franky/Project1_Seroprevalence/result/"/>
    </mc:Choice>
  </mc:AlternateContent>
  <xr:revisionPtr revIDLastSave="3039" documentId="13_ncr:1_{F266BA28-F1CD-EF4C-8BA5-958743B85381}" xr6:coauthVersionLast="47" xr6:coauthVersionMax="47" xr10:uidLastSave="{2551BE14-4D24-4FCD-9A4D-312845D9B088}"/>
  <bookViews>
    <workbookView xWindow="390" yWindow="480" windowWidth="25605" windowHeight="19110" tabRatio="790" activeTab="6" xr2:uid="{5A02E747-6446-DB4B-B1BF-7E1F3408C1EC}"/>
  </bookViews>
  <sheets>
    <sheet name="Table1.Apr17" sheetId="1" r:id="rId1"/>
    <sheet name="Sheet1" sheetId="2" state="hidden" r:id="rId2"/>
    <sheet name="Figure2.Mar14" sheetId="3" state="hidden" r:id="rId3"/>
    <sheet name="Table2.Apr17" sheetId="4" r:id="rId4"/>
    <sheet name="Table3.Mar14" sheetId="5" state="hidden" r:id="rId5"/>
    <sheet name="cox.zph.Mar17" sheetId="7" r:id="rId6"/>
    <sheet name="Appendix.Apr17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4" i="4" l="1"/>
  <c r="X43" i="4"/>
  <c r="X42" i="4"/>
  <c r="X41" i="4"/>
  <c r="X39" i="4"/>
  <c r="X38" i="4"/>
  <c r="X37" i="4"/>
  <c r="X36" i="4"/>
  <c r="X17" i="4"/>
  <c r="X18" i="4"/>
  <c r="X19" i="4"/>
  <c r="X16" i="4"/>
  <c r="X12" i="4"/>
  <c r="X13" i="4"/>
  <c r="X14" i="4"/>
  <c r="X11" i="4"/>
  <c r="N19" i="4"/>
  <c r="N18" i="4"/>
  <c r="N17" i="4"/>
  <c r="N16" i="4"/>
  <c r="N14" i="4"/>
  <c r="N13" i="4"/>
  <c r="N12" i="4"/>
  <c r="N11" i="4"/>
  <c r="G6" i="6"/>
  <c r="I6" i="6"/>
  <c r="E6" i="6"/>
  <c r="E7" i="6"/>
  <c r="G7" i="6"/>
  <c r="I7" i="6"/>
  <c r="E8" i="6"/>
  <c r="G8" i="6"/>
  <c r="I8" i="6"/>
  <c r="E9" i="6"/>
  <c r="G9" i="6"/>
  <c r="I9" i="6"/>
  <c r="E10" i="6"/>
  <c r="G10" i="6"/>
  <c r="I10" i="6"/>
  <c r="E11" i="6"/>
  <c r="G11" i="6"/>
  <c r="I11" i="6"/>
  <c r="E12" i="6"/>
  <c r="G12" i="6"/>
  <c r="I12" i="6"/>
  <c r="E13" i="6"/>
  <c r="G13" i="6"/>
  <c r="I13" i="6"/>
  <c r="E14" i="6"/>
  <c r="G14" i="6"/>
  <c r="I14" i="6"/>
  <c r="E15" i="6"/>
  <c r="G15" i="6"/>
  <c r="I15" i="6"/>
  <c r="E16" i="6"/>
  <c r="G16" i="6"/>
  <c r="I16" i="6"/>
  <c r="E17" i="6"/>
  <c r="G17" i="6"/>
  <c r="I17" i="6"/>
  <c r="E18" i="6"/>
  <c r="G18" i="6"/>
  <c r="I18" i="6"/>
  <c r="E19" i="6"/>
  <c r="G19" i="6"/>
  <c r="I19" i="6"/>
  <c r="E20" i="6"/>
  <c r="G20" i="6"/>
  <c r="I20" i="6"/>
  <c r="E21" i="6"/>
  <c r="G21" i="6"/>
  <c r="I21" i="6"/>
  <c r="E22" i="6"/>
  <c r="G22" i="6"/>
  <c r="I22" i="6"/>
  <c r="E24" i="6"/>
  <c r="G24" i="6"/>
  <c r="I24" i="6"/>
  <c r="E25" i="6"/>
  <c r="G25" i="6"/>
  <c r="I25" i="6"/>
  <c r="E26" i="6"/>
  <c r="G26" i="6"/>
  <c r="I26" i="6"/>
  <c r="G5" i="6"/>
  <c r="H6" i="6" s="1"/>
  <c r="I5" i="6"/>
  <c r="J6" i="6" s="1"/>
  <c r="E5" i="6"/>
  <c r="N6" i="4"/>
  <c r="N7" i="4"/>
  <c r="N8" i="4"/>
  <c r="N9" i="4"/>
  <c r="L94" i="1"/>
  <c r="L93" i="1"/>
  <c r="L92" i="1"/>
  <c r="I94" i="1"/>
  <c r="I93" i="1"/>
  <c r="I92" i="1"/>
  <c r="E94" i="1"/>
  <c r="F94" i="1" s="1"/>
  <c r="E93" i="1"/>
  <c r="F93" i="1" s="1"/>
  <c r="E92" i="1"/>
  <c r="F92" i="1" s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8" i="1"/>
  <c r="F25" i="1"/>
  <c r="E18" i="1"/>
  <c r="F18" i="1" s="1"/>
  <c r="E19" i="1"/>
  <c r="F19" i="1" s="1"/>
  <c r="E20" i="1"/>
  <c r="F20" i="1" s="1"/>
  <c r="E17" i="1"/>
  <c r="F17" i="1" s="1"/>
  <c r="E16" i="1"/>
  <c r="F16" i="1" s="1"/>
  <c r="E15" i="1"/>
  <c r="F15" i="1" s="1"/>
  <c r="E14" i="1"/>
  <c r="F14" i="1" s="1"/>
  <c r="E29" i="1"/>
  <c r="F29" i="1" s="1"/>
  <c r="E28" i="1"/>
  <c r="F28" i="1" s="1"/>
  <c r="E30" i="1"/>
  <c r="F30" i="1" s="1"/>
  <c r="E27" i="1"/>
  <c r="F27" i="1" s="1"/>
  <c r="E26" i="1"/>
  <c r="F26" i="1" s="1"/>
  <c r="E24" i="1"/>
  <c r="F24" i="1" s="1"/>
  <c r="E23" i="1"/>
  <c r="F23" i="1" s="1"/>
  <c r="E22" i="1"/>
  <c r="F22" i="1" s="1"/>
  <c r="E21" i="1"/>
  <c r="F21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G9" i="1" s="1"/>
  <c r="H21" i="6" l="1"/>
  <c r="H24" i="6"/>
  <c r="H16" i="6"/>
  <c r="H20" i="6"/>
  <c r="F17" i="6"/>
  <c r="H10" i="6"/>
  <c r="F7" i="6"/>
  <c r="H13" i="6"/>
  <c r="F10" i="6"/>
  <c r="F13" i="6"/>
  <c r="H19" i="6"/>
  <c r="H9" i="6"/>
  <c r="H22" i="6"/>
  <c r="F19" i="6"/>
  <c r="H12" i="6"/>
  <c r="F9" i="6"/>
  <c r="F20" i="6"/>
  <c r="F24" i="6"/>
  <c r="F16" i="6"/>
  <c r="H26" i="6"/>
  <c r="F22" i="6"/>
  <c r="H15" i="6"/>
  <c r="F12" i="6"/>
  <c r="F26" i="6"/>
  <c r="H18" i="6"/>
  <c r="F15" i="6"/>
  <c r="H8" i="6"/>
  <c r="F18" i="6"/>
  <c r="H11" i="6"/>
  <c r="F8" i="6"/>
  <c r="H25" i="6"/>
  <c r="F21" i="6"/>
  <c r="H14" i="6"/>
  <c r="F11" i="6"/>
  <c r="F25" i="6"/>
  <c r="H17" i="6"/>
  <c r="F14" i="6"/>
  <c r="H7" i="6"/>
  <c r="J18" i="6"/>
  <c r="J7" i="6"/>
  <c r="J22" i="6"/>
  <c r="J26" i="6"/>
  <c r="J17" i="6"/>
  <c r="J24" i="6"/>
  <c r="J13" i="6"/>
  <c r="F6" i="6"/>
  <c r="J25" i="6"/>
  <c r="J8" i="6"/>
  <c r="J12" i="6"/>
  <c r="J11" i="6"/>
  <c r="J16" i="6"/>
  <c r="J21" i="6"/>
  <c r="J10" i="6"/>
  <c r="J15" i="6"/>
  <c r="J20" i="6"/>
  <c r="J9" i="6"/>
  <c r="J14" i="6"/>
  <c r="J19" i="6"/>
  <c r="G14" i="1"/>
  <c r="G12" i="1"/>
  <c r="G27" i="1"/>
  <c r="G26" i="1"/>
  <c r="G11" i="1"/>
  <c r="G25" i="1"/>
  <c r="G24" i="1"/>
  <c r="G18" i="1"/>
  <c r="G17" i="1"/>
  <c r="G16" i="1"/>
  <c r="G15" i="1"/>
  <c r="G28" i="1"/>
  <c r="G13" i="1"/>
  <c r="G22" i="1"/>
  <c r="G10" i="1"/>
  <c r="G23" i="1"/>
  <c r="G8" i="1"/>
  <c r="G21" i="1"/>
  <c r="G30" i="1"/>
  <c r="G20" i="1"/>
  <c r="G29" i="1"/>
  <c r="G19" i="1"/>
</calcChain>
</file>

<file path=xl/sharedStrings.xml><?xml version="1.0" encoding="utf-8"?>
<sst xmlns="http://schemas.openxmlformats.org/spreadsheetml/2006/main" count="1035" uniqueCount="432">
  <si>
    <t>Total population</t>
  </si>
  <si>
    <t>TOTAL</t>
  </si>
  <si>
    <t>NUM</t>
  </si>
  <si>
    <t>-</t>
  </si>
  <si>
    <t>Age</t>
  </si>
  <si>
    <t>&lt;20</t>
  </si>
  <si>
    <t>Sex</t>
  </si>
  <si>
    <t>&lt; 1 month</t>
  </si>
  <si>
    <t>1-6 months</t>
  </si>
  <si>
    <t>6-12 months</t>
  </si>
  <si>
    <t>&gt; 1 year</t>
  </si>
  <si>
    <t>Vaccination</t>
  </si>
  <si>
    <t>3 doses</t>
  </si>
  <si>
    <t>4 doses</t>
  </si>
  <si>
    <t>Male</t>
  </si>
  <si>
    <t>Female</t>
  </si>
  <si>
    <t>20-39</t>
  </si>
  <si>
    <t>40-59</t>
  </si>
  <si>
    <t>(%)</t>
  </si>
  <si>
    <t>Hybrid-induced (S+N+)</t>
  </si>
  <si>
    <t>Vaccine-induced (S+N-)</t>
  </si>
  <si>
    <t>≥60</t>
  </si>
  <si>
    <t>No Infection</t>
  </si>
  <si>
    <t>Months</t>
  </si>
  <si>
    <t xml:space="preserve">Hybrid &lt;20 </t>
  </si>
  <si>
    <t xml:space="preserve">Hybrid 20-39 </t>
  </si>
  <si>
    <t xml:space="preserve">Hybrid 40-59 </t>
  </si>
  <si>
    <t xml:space="preserve">Hybrid &gt;=60 </t>
  </si>
  <si>
    <t xml:space="preserve">Vac &lt;20 </t>
  </si>
  <si>
    <t xml:space="preserve">Vac 20-39 </t>
  </si>
  <si>
    <t xml:space="preserve">Vac 40-59 </t>
  </si>
  <si>
    <t xml:space="preserve">Vac &gt;=60 </t>
  </si>
  <si>
    <t>Number at risk</t>
  </si>
  <si>
    <t>177 (0;0)</t>
  </si>
  <si>
    <t>177 (31;8)</t>
  </si>
  <si>
    <t>138 (9;2)</t>
  </si>
  <si>
    <t>127 (12;2)</t>
  </si>
  <si>
    <t>113 (7;2)</t>
  </si>
  <si>
    <t>698 (0;0)</t>
  </si>
  <si>
    <t>698 (62;22)</t>
  </si>
  <si>
    <t>614 (27;14)</t>
  </si>
  <si>
    <t>573 (39;16)</t>
  </si>
  <si>
    <t>518 (27;8)</t>
  </si>
  <si>
    <t>1234 (0;0)</t>
  </si>
  <si>
    <t>1234 (100;68)</t>
  </si>
  <si>
    <t>1066 (51;32)</t>
  </si>
  <si>
    <t>983 (61;36)</t>
  </si>
  <si>
    <t>886 (50;34)</t>
  </si>
  <si>
    <t>1862 (0;0)</t>
  </si>
  <si>
    <t>1862 (149;69)</t>
  </si>
  <si>
    <t>1644 (52;26)</t>
  </si>
  <si>
    <t>1566 (95;46)</t>
  </si>
  <si>
    <t>1425 (48;35)</t>
  </si>
  <si>
    <t>1522 (0;0)</t>
  </si>
  <si>
    <t>1522 (3;55)</t>
  </si>
  <si>
    <t>1464 (1;10)</t>
  </si>
  <si>
    <t>1453 (11;65)</t>
  </si>
  <si>
    <t>1377 (5;34)</t>
  </si>
  <si>
    <t>1643 (0;0)</t>
  </si>
  <si>
    <t>1643 (5;46)</t>
  </si>
  <si>
    <t>1592 (5;15)</t>
  </si>
  <si>
    <t>1572 (7;86)</t>
  </si>
  <si>
    <t>1479 (6;50)</t>
  </si>
  <si>
    <t>1123 (0;0)</t>
  </si>
  <si>
    <t>1123 (3;21)</t>
  </si>
  <si>
    <t>1099 (1;17)</t>
  </si>
  <si>
    <t>1081 (5;58)</t>
  </si>
  <si>
    <t>1018 (4;43)</t>
  </si>
  <si>
    <t>307 (0;0)</t>
  </si>
  <si>
    <t>307 (1;0)</t>
  </si>
  <si>
    <t>306 (2;0)</t>
  </si>
  <si>
    <t>304 (0;5)</t>
  </si>
  <si>
    <t>299 (3;13)</t>
  </si>
  <si>
    <t>Primary Series</t>
  </si>
  <si>
    <t>Confirmed Infection</t>
  </si>
  <si>
    <t>Unconfirmed Infection</t>
  </si>
  <si>
    <t>Events between 1st and 2nd surveillance</t>
  </si>
  <si>
    <t>Low</t>
  </si>
  <si>
    <t>Normal</t>
  </si>
  <si>
    <t>Obesity</t>
  </si>
  <si>
    <t>BMI</t>
  </si>
  <si>
    <t xml:space="preserve">Hybrid </t>
  </si>
  <si>
    <t xml:space="preserve">Vac </t>
  </si>
  <si>
    <t>4595 (0;0)</t>
  </si>
  <si>
    <t>4595 (12;122)</t>
  </si>
  <si>
    <t>4461 (9;42)</t>
  </si>
  <si>
    <t>4410 (23;214)</t>
  </si>
  <si>
    <t>4173 (18;140)</t>
  </si>
  <si>
    <t>3971 (0;0)</t>
  </si>
  <si>
    <t>3971 (342;167)</t>
  </si>
  <si>
    <t>3462 (139;74)</t>
  </si>
  <si>
    <t>3249 (207;100)</t>
  </si>
  <si>
    <t>2942 (132;79)</t>
  </si>
  <si>
    <t>None</t>
  </si>
  <si>
    <t>≥3</t>
  </si>
  <si>
    <t>Weighted (%)</t>
  </si>
  <si>
    <t>Number of          disease                history</t>
  </si>
  <si>
    <t>Time since     most recent immunology</t>
  </si>
  <si>
    <t>(7.3)</t>
  </si>
  <si>
    <t>(29.8)</t>
  </si>
  <si>
    <t>(35.7)</t>
  </si>
  <si>
    <t>(27.1)</t>
  </si>
  <si>
    <t>(49.7)</t>
  </si>
  <si>
    <t>(50.3)</t>
  </si>
  <si>
    <t>(5.7)</t>
  </si>
  <si>
    <t>(61.8)</t>
  </si>
  <si>
    <t>(30.8)</t>
  </si>
  <si>
    <t>(66.8)</t>
  </si>
  <si>
    <t>(16.4)</t>
  </si>
  <si>
    <t>(10.2)</t>
  </si>
  <si>
    <t>(6.5)</t>
  </si>
  <si>
    <t>(11.3)</t>
  </si>
  <si>
    <t>(46.1)</t>
  </si>
  <si>
    <t>(42.4)</t>
  </si>
  <si>
    <t>(0.3)</t>
  </si>
  <si>
    <t>(22.4)</t>
  </si>
  <si>
    <t>(59.6)</t>
  </si>
  <si>
    <t>(18.0)</t>
  </si>
  <si>
    <t>(10.8)</t>
  </si>
  <si>
    <t>(12.1)</t>
  </si>
  <si>
    <t>(74.6)</t>
  </si>
  <si>
    <t>(8.1)</t>
  </si>
  <si>
    <t>(33.0)</t>
  </si>
  <si>
    <t>(36.2)</t>
  </si>
  <si>
    <t>(22.5)</t>
  </si>
  <si>
    <t>(49.3)</t>
  </si>
  <si>
    <t>(50.7)</t>
  </si>
  <si>
    <t>(5.4)</t>
  </si>
  <si>
    <t>(62.6)</t>
  </si>
  <si>
    <t>(30.0)</t>
  </si>
  <si>
    <t>(70.6)</t>
  </si>
  <si>
    <t>(14.9)</t>
  </si>
  <si>
    <t>(9.1)</t>
  </si>
  <si>
    <t>(64.7)</t>
  </si>
  <si>
    <t>(24.4)</t>
  </si>
  <si>
    <t>(0.1)</t>
  </si>
  <si>
    <t>(26.7)</t>
  </si>
  <si>
    <t>(60.7)</t>
  </si>
  <si>
    <t>(12.6)</t>
  </si>
  <si>
    <t>(2.0)</t>
  </si>
  <si>
    <t>(13.0)</t>
  </si>
  <si>
    <t>(83.0)</t>
  </si>
  <si>
    <t>(26.1)</t>
  </si>
  <si>
    <t>(35.1)</t>
  </si>
  <si>
    <t>(32.3)</t>
  </si>
  <si>
    <t>(50.2)</t>
  </si>
  <si>
    <t>(49.8)</t>
  </si>
  <si>
    <t>(6.1)</t>
  </si>
  <si>
    <t>(60.8)</t>
  </si>
  <si>
    <t>(31.8)</t>
  </si>
  <si>
    <t>(62.4)</t>
  </si>
  <si>
    <t>(18.2)</t>
  </si>
  <si>
    <t>(11.6)</t>
  </si>
  <si>
    <t>(7.8)</t>
  </si>
  <si>
    <t>(11.8)</t>
  </si>
  <si>
    <t>(24.6)</t>
  </si>
  <si>
    <t>(63.2)</t>
  </si>
  <si>
    <t>(0.5)</t>
  </si>
  <si>
    <t>(17.4)</t>
  </si>
  <si>
    <t>(58.3)</t>
  </si>
  <si>
    <t>(24.3)</t>
  </si>
  <si>
    <t>(21.0)</t>
  </si>
  <si>
    <t>(11.0)</t>
  </si>
  <si>
    <t>(65.0)</t>
  </si>
  <si>
    <t>P-value*</t>
  </si>
  <si>
    <t>p-value estimated using the Rao–Scott chi-square test.</t>
  </si>
  <si>
    <t>307 (1)</t>
  </si>
  <si>
    <t>306 (2)</t>
  </si>
  <si>
    <t>3971 (339)</t>
  </si>
  <si>
    <t>3632 (135)</t>
  </si>
  <si>
    <t>3497 (209)</t>
  </si>
  <si>
    <t>3288 (137)</t>
  </si>
  <si>
    <t>159 (1)</t>
  </si>
  <si>
    <t>4595 (12)</t>
  </si>
  <si>
    <t>4583 (9)</t>
  </si>
  <si>
    <t>4574 (21)</t>
  </si>
  <si>
    <t>4553 (20)</t>
  </si>
  <si>
    <t>222 (0)</t>
  </si>
  <si>
    <t>177 (30)</t>
  </si>
  <si>
    <t>147 (10)</t>
  </si>
  <si>
    <t>137 (12)</t>
  </si>
  <si>
    <t>125 (7)</t>
  </si>
  <si>
    <t>7 (0)</t>
  </si>
  <si>
    <t>698 (62)</t>
  </si>
  <si>
    <t>636 (26)</t>
  </si>
  <si>
    <t>610 (40)</t>
  </si>
  <si>
    <t>570 (27)</t>
  </si>
  <si>
    <t>21 (0)</t>
  </si>
  <si>
    <t>1234 (100)</t>
  </si>
  <si>
    <t>1134 (49)</t>
  </si>
  <si>
    <t>1085 (60)</t>
  </si>
  <si>
    <t>1025 (53)</t>
  </si>
  <si>
    <t>45 (0)</t>
  </si>
  <si>
    <t>1862 (147)</t>
  </si>
  <si>
    <t>1715 (50)</t>
  </si>
  <si>
    <t>1665 (97)</t>
  </si>
  <si>
    <t>1568 (50)</t>
  </si>
  <si>
    <t>86 (1)</t>
  </si>
  <si>
    <t>1522 (3)</t>
  </si>
  <si>
    <t>1519 (1)</t>
  </si>
  <si>
    <t>1518 (11)</t>
  </si>
  <si>
    <t>1507 (5)</t>
  </si>
  <si>
    <t>88 (0)</t>
  </si>
  <si>
    <t>1643 (5)</t>
  </si>
  <si>
    <t>1638 (5)</t>
  </si>
  <si>
    <t>1633 (6)</t>
  </si>
  <si>
    <t>1627 (7)</t>
  </si>
  <si>
    <t>60 (0)</t>
  </si>
  <si>
    <t>1123 (3)</t>
  </si>
  <si>
    <t>1120 (1)</t>
  </si>
  <si>
    <t>1119 (4)</t>
  </si>
  <si>
    <t>1115 (5)</t>
  </si>
  <si>
    <t>51 (0)</t>
  </si>
  <si>
    <t>304 (0)</t>
  </si>
  <si>
    <t>304 (3)</t>
  </si>
  <si>
    <t>23 (0)</t>
  </si>
  <si>
    <t>KDCA</t>
  </si>
  <si>
    <t>N status</t>
  </si>
  <si>
    <t>Signif. codes:  0 ‘***’ 0.001 ‘**’ 0.01 ‘*’ 0.05 ‘.’ 0.1 ‘ ’ 1</t>
  </si>
  <si>
    <t>&lt;0.001***</t>
  </si>
  <si>
    <t>p-value</t>
  </si>
  <si>
    <t>Vaccine/Hybrid</t>
  </si>
  <si>
    <t>Survival Probability</t>
  </si>
  <si>
    <t>Hazard rate</t>
  </si>
  <si>
    <t>Number of events</t>
  </si>
  <si>
    <t>Number of risk</t>
  </si>
  <si>
    <t>Month</t>
  </si>
  <si>
    <t>Log-rank test</t>
  </si>
  <si>
    <t>Hazard Ratio</t>
  </si>
  <si>
    <t>Vaccine-induced</t>
  </si>
  <si>
    <t>Hybrid-induced</t>
  </si>
  <si>
    <t>Variables</t>
  </si>
  <si>
    <t>P-value</t>
  </si>
  <si>
    <t>95% CI for the Hazard Ratio</t>
  </si>
  <si>
    <t xml:space="preserve">    Male</t>
  </si>
  <si>
    <t xml:space="preserve">    Female</t>
  </si>
  <si>
    <t xml:space="preserve">    Age &lt;20</t>
  </si>
  <si>
    <t xml:space="preserve">    Age 20-39</t>
  </si>
  <si>
    <t xml:space="preserve">    Age 40-59</t>
  </si>
  <si>
    <t xml:space="preserve">    Age  ≥60 </t>
  </si>
  <si>
    <t>Vaccine Doses</t>
  </si>
  <si>
    <t>Concordance</t>
  </si>
  <si>
    <t>Likelihood ratio test</t>
  </si>
  <si>
    <t>Wald test </t>
  </si>
  <si>
    <t>Score (logrank) test </t>
  </si>
  <si>
    <t>0.07 .</t>
  </si>
  <si>
    <t>&lt;0.01 **</t>
  </si>
  <si>
    <t>(%</t>
  </si>
  <si>
    <t>Weighted (%</t>
  </si>
  <si>
    <t>Hybrid-induced (S+N+</t>
  </si>
  <si>
    <t>Vaccine-induced (S+N-</t>
  </si>
  <si>
    <t>Chi-Squared Test (P-value</t>
  </si>
  <si>
    <t>0.02 *</t>
  </si>
  <si>
    <t>0.08 .</t>
  </si>
  <si>
    <t>on 5 df</t>
  </si>
  <si>
    <t>= 0.616</t>
  </si>
  <si>
    <t>(se = 0.037)</t>
  </si>
  <si>
    <t>= 10.46</t>
  </si>
  <si>
    <t>= 10</t>
  </si>
  <si>
    <t>= 10.17</t>
  </si>
  <si>
    <t>= 0.543</t>
  </si>
  <si>
    <t>(se = 0.01)</t>
  </si>
  <si>
    <t>= 20.73</t>
  </si>
  <si>
    <t>= 21.56</t>
  </si>
  <si>
    <t>= 21.76</t>
  </si>
  <si>
    <t>&lt;0.001 ***</t>
  </si>
  <si>
    <t>0.06 .</t>
  </si>
  <si>
    <t>&lt; 0.001 ***</t>
  </si>
  <si>
    <t>(se = 0.012)</t>
  </si>
  <si>
    <t>= 0.56</t>
  </si>
  <si>
    <t>= 24.53</t>
  </si>
  <si>
    <t>= 22.24</t>
  </si>
  <si>
    <t>= 22.68</t>
  </si>
  <si>
    <t>= 0.539</t>
  </si>
  <si>
    <t>= 18.5</t>
  </si>
  <si>
    <t>= 18.57</t>
  </si>
  <si>
    <t>Loss to follow up</t>
  </si>
  <si>
    <t>Confirmed infection</t>
  </si>
  <si>
    <t>No confirmed infection</t>
  </si>
  <si>
    <t>Vaccination between the Wave 1 and  2</t>
  </si>
  <si>
    <t>Vaccination (before the Wave 1)</t>
  </si>
  <si>
    <t>Infection (N positive/increase)</t>
  </si>
  <si>
    <t>%</t>
  </si>
  <si>
    <t>Num</t>
  </si>
  <si>
    <t>Total</t>
  </si>
  <si>
    <t>̵</t>
  </si>
  <si>
    <t xml:space="preserve">Events between the Wave 1 and 2 from KDCA </t>
  </si>
  <si>
    <t xml:space="preserve">Events between the Wave 1 and 2  </t>
  </si>
  <si>
    <t>212 (3)</t>
  </si>
  <si>
    <t>209 (3)</t>
  </si>
  <si>
    <t>206 (7)</t>
  </si>
  <si>
    <t>199 (9)</t>
  </si>
  <si>
    <t>20 (0)</t>
  </si>
  <si>
    <t>793 (22)</t>
  </si>
  <si>
    <t>771 (17)</t>
  </si>
  <si>
    <t>754 (74)</t>
  </si>
  <si>
    <t>680 (33)</t>
  </si>
  <si>
    <t>41 (0)</t>
  </si>
  <si>
    <t>1198 (47)</t>
  </si>
  <si>
    <t>1151 (40)</t>
  </si>
  <si>
    <t>1111 (86)</t>
  </si>
  <si>
    <t>1025 (43)</t>
  </si>
  <si>
    <t>48 (0)</t>
  </si>
  <si>
    <t>875 (37)</t>
  </si>
  <si>
    <t>838 (23)</t>
  </si>
  <si>
    <t>815 (77)</t>
  </si>
  <si>
    <t>738 (42)</t>
  </si>
  <si>
    <t>133 (35)</t>
  </si>
  <si>
    <t>98 (12)</t>
  </si>
  <si>
    <t>86 (12)</t>
  </si>
  <si>
    <t>74 (3)</t>
  </si>
  <si>
    <t>6 (0)</t>
  </si>
  <si>
    <t>468 (75)</t>
  </si>
  <si>
    <t>393 (32)</t>
  </si>
  <si>
    <t>361 (42)</t>
  </si>
  <si>
    <t>319 (31)</t>
  </si>
  <si>
    <t>17 (0)</t>
  </si>
  <si>
    <t>901 (151)</t>
  </si>
  <si>
    <t>750 (73)</t>
  </si>
  <si>
    <t>677 (90)</t>
  </si>
  <si>
    <t>587 (76)</t>
  </si>
  <si>
    <t>25 (0)</t>
  </si>
  <si>
    <t>1000 (183)</t>
  </si>
  <si>
    <t>817 (70)</t>
  </si>
  <si>
    <t>747 (117)</t>
  </si>
  <si>
    <t>630 (60)</t>
  </si>
  <si>
    <t>41 (1)</t>
  </si>
  <si>
    <t>301 (1)</t>
  </si>
  <si>
    <t>300 (2)</t>
  </si>
  <si>
    <t>298 (0)</t>
  </si>
  <si>
    <t>298 (3)</t>
  </si>
  <si>
    <t>22 (0)</t>
  </si>
  <si>
    <t>1092 (3)</t>
  </si>
  <si>
    <t>1089 (1)</t>
  </si>
  <si>
    <t>1088 (4)</t>
  </si>
  <si>
    <t>1084 (5)</t>
  </si>
  <si>
    <t>49 (0)</t>
  </si>
  <si>
    <t>1513 (5)</t>
  </si>
  <si>
    <t>1508 (5)</t>
  </si>
  <si>
    <t>1503 (6)</t>
  </si>
  <si>
    <t>1497 (7)</t>
  </si>
  <si>
    <t>59 (0)</t>
  </si>
  <si>
    <t>1071 (3)</t>
  </si>
  <si>
    <t>1068 (1)</t>
  </si>
  <si>
    <t>1067 (11)</t>
  </si>
  <si>
    <t>1056 (5)</t>
  </si>
  <si>
    <t>69 (0)</t>
  </si>
  <si>
    <t>680 (62)</t>
  </si>
  <si>
    <t>618 (26)</t>
  </si>
  <si>
    <t>592 (40)</t>
  </si>
  <si>
    <t>552 (27)</t>
  </si>
  <si>
    <t>1154 (100)</t>
  </si>
  <si>
    <t>1054 (49)</t>
  </si>
  <si>
    <t>1005 (60)</t>
  </si>
  <si>
    <t>945 (53)</t>
  </si>
  <si>
    <t>40 (0)</t>
  </si>
  <si>
    <t>1360 (147)</t>
  </si>
  <si>
    <t>1213 (50)</t>
  </si>
  <si>
    <t>1163 (97)</t>
  </si>
  <si>
    <t>1066 (50)</t>
  </si>
  <si>
    <t>53 (1)</t>
  </si>
  <si>
    <t>3977 (12)</t>
  </si>
  <si>
    <t>3965 (9)</t>
  </si>
  <si>
    <t>3956 (21)</t>
  </si>
  <si>
    <t>3935 (20)</t>
  </si>
  <si>
    <t>199 (0)</t>
  </si>
  <si>
    <t>3371 (339)</t>
  </si>
  <si>
    <t>3032 (135)</t>
  </si>
  <si>
    <t>2897 (209)</t>
  </si>
  <si>
    <t>2688 (137)</t>
  </si>
  <si>
    <t>120 (1)</t>
  </si>
  <si>
    <t>3078 (109)</t>
  </si>
  <si>
    <t>2969 (83)</t>
  </si>
  <si>
    <t>2886 (244)</t>
  </si>
  <si>
    <t>2642 (127)</t>
  </si>
  <si>
    <t>160 (0)</t>
  </si>
  <si>
    <t>2502 (444)</t>
  </si>
  <si>
    <t>2058 (187)</t>
  </si>
  <si>
    <t>1871 (261)</t>
  </si>
  <si>
    <t>1610 (170)</t>
  </si>
  <si>
    <t>89 (1)</t>
  </si>
  <si>
    <t>Total  Infection</t>
  </si>
  <si>
    <t>Chi-square</t>
  </si>
  <si>
    <t>Conservative Model</t>
  </si>
  <si>
    <t>Inclusive Model</t>
  </si>
  <si>
    <t>df</t>
  </si>
  <si>
    <t>ImmuneType</t>
  </si>
  <si>
    <t>VaccineDoses</t>
  </si>
  <si>
    <t>GLOBAL</t>
  </si>
  <si>
    <t>Immune Type</t>
  </si>
  <si>
    <t>Hybrid-Induced</t>
  </si>
  <si>
    <t>N increase</t>
  </si>
  <si>
    <t>Conservative</t>
  </si>
  <si>
    <t>Inclusive</t>
  </si>
  <si>
    <t xml:space="preserve">N increase but not confirmed </t>
  </si>
  <si>
    <t>Time since the most recent immunological event</t>
  </si>
  <si>
    <t>Number of underlying disease conditions</t>
  </si>
  <si>
    <t>Characteristics</t>
  </si>
  <si>
    <t>p-value estimated using the two-side Fisher's Exact Test</t>
  </si>
  <si>
    <t>N positive</t>
  </si>
  <si>
    <t xml:space="preserve">N positive but not confirmed </t>
  </si>
  <si>
    <t>20-40</t>
  </si>
  <si>
    <t>40-60</t>
  </si>
  <si>
    <t>&gt;60</t>
  </si>
  <si>
    <t>NA</t>
  </si>
  <si>
    <t>none</t>
  </si>
  <si>
    <t>&gt;=3</t>
  </si>
  <si>
    <t>&lt;1 month</t>
  </si>
  <si>
    <t>1-6 months</t>
  </si>
  <si>
    <t>6-12 months</t>
  </si>
  <si>
    <t>&gt;1 year</t>
  </si>
  <si>
    <t>follow_up_loss</t>
  </si>
  <si>
    <t>infection</t>
  </si>
  <si>
    <t>non_infection</t>
  </si>
  <si>
    <t>vac</t>
  </si>
  <si>
    <t>No Vaccination</t>
  </si>
  <si>
    <t>no_vac</t>
  </si>
  <si>
    <t>primary_dose</t>
  </si>
  <si>
    <t xml:space="preserve">Infection-induced </t>
  </si>
  <si>
    <t>Infection-induced</t>
  </si>
  <si>
    <t>Number at Risk</t>
  </si>
  <si>
    <t>vs. Hybrid</t>
  </si>
  <si>
    <t>Hazard Rate</t>
  </si>
  <si>
    <t>Fisher's Exact Test</t>
  </si>
  <si>
    <t xml:space="preserve">   0.008 **</t>
  </si>
  <si>
    <t xml:space="preserve">   0.681</t>
  </si>
  <si>
    <t xml:space="preserve">   0.006 **</t>
  </si>
  <si>
    <t xml:space="preserve">   0.001 **</t>
  </si>
  <si>
    <t xml:space="preserve">   0.137</t>
  </si>
  <si>
    <t xml:space="preserve">   0.019 *</t>
  </si>
  <si>
    <t xml:space="preserve">   0.027 *</t>
  </si>
  <si>
    <t xml:space="preserve">   0.218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</si>
</sst>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\(0%\)"/>
  </numFmts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1"/>
      <color rgb="FF000000"/>
      <name val="Lucida Grande"/>
      <family val="2"/>
    </font>
    <font>
      <sz val="11"/>
      <color rgb="FF000000"/>
      <name val="Lucida Grande"/>
      <family val="2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Aptos Narrow"/>
      <family val="2"/>
    </font>
    <font>
      <i/>
      <sz val="11"/>
      <color rgb="FFB0B0B0"/>
      <name val="Lucida Grande"/>
      <family val="2"/>
    </font>
    <font>
      <sz val="9"/>
      <color rgb="FF000000"/>
      <name val="Lucida Sans"/>
      <family val="2"/>
    </font>
    <font>
      <b/>
      <sz val="18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4">
    <xf numFmtId="0" fontId="0" fillId="0" borderId="0" xfId="0"/>
    <xf numFmtId="0" fontId="0" fillId="3" borderId="0" xfId="0" applyFill="1"/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164" fontId="3" fillId="3" borderId="0" xfId="1" applyNumberFormat="1" applyFont="1" applyFill="1" applyBorder="1"/>
    <xf numFmtId="164" fontId="4" fillId="3" borderId="0" xfId="1" applyNumberFormat="1" applyFont="1" applyFill="1" applyBorder="1" applyAlignment="1">
      <alignment horizontal="right"/>
    </xf>
    <xf numFmtId="0" fontId="4" fillId="3" borderId="0" xfId="0" applyFont="1" applyFill="1"/>
    <xf numFmtId="164" fontId="3" fillId="3" borderId="2" xfId="1" applyNumberFormat="1" applyFont="1" applyFill="1" applyBorder="1"/>
    <xf numFmtId="0" fontId="4" fillId="3" borderId="2" xfId="0" applyFont="1" applyFill="1" applyBorder="1"/>
    <xf numFmtId="0" fontId="0" fillId="3" borderId="0" xfId="0" applyFill="1" applyAlignment="1">
      <alignment horizontal="center" vertical="center"/>
    </xf>
    <xf numFmtId="0" fontId="7" fillId="3" borderId="5" xfId="0" applyFont="1" applyFill="1" applyBorder="1" applyAlignment="1">
      <alignment horizontal="right" vertical="center"/>
    </xf>
    <xf numFmtId="0" fontId="6" fillId="3" borderId="0" xfId="0" applyFont="1" applyFill="1" applyAlignment="1">
      <alignment vertical="top"/>
    </xf>
    <xf numFmtId="0" fontId="7" fillId="3" borderId="0" xfId="0" applyFont="1" applyFill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/>
    </xf>
    <xf numFmtId="0" fontId="7" fillId="3" borderId="0" xfId="0" applyFont="1" applyFill="1" applyAlignment="1">
      <alignment horizontal="right" vertical="center"/>
    </xf>
    <xf numFmtId="0" fontId="7" fillId="3" borderId="1" xfId="0" applyFont="1" applyFill="1" applyBorder="1" applyAlignment="1">
      <alignment horizontal="right" vertical="center"/>
    </xf>
    <xf numFmtId="1" fontId="7" fillId="3" borderId="0" xfId="0" applyNumberFormat="1" applyFont="1" applyFill="1" applyAlignment="1">
      <alignment horizontal="left" vertical="center"/>
    </xf>
    <xf numFmtId="1" fontId="7" fillId="3" borderId="2" xfId="0" applyNumberFormat="1" applyFont="1" applyFill="1" applyBorder="1" applyAlignment="1">
      <alignment horizontal="left" vertical="center"/>
    </xf>
    <xf numFmtId="0" fontId="0" fillId="3" borderId="2" xfId="0" applyFill="1" applyBorder="1"/>
    <xf numFmtId="164" fontId="2" fillId="2" borderId="3" xfId="1" applyNumberFormat="1" applyFont="1" applyFill="1" applyBorder="1" applyAlignment="1">
      <alignment horizontal="right"/>
    </xf>
    <xf numFmtId="164" fontId="2" fillId="2" borderId="3" xfId="1" applyNumberFormat="1" applyFont="1" applyFill="1" applyBorder="1" applyAlignment="1">
      <alignment horizontal="left"/>
    </xf>
    <xf numFmtId="0" fontId="8" fillId="3" borderId="0" xfId="0" applyFont="1" applyFill="1"/>
    <xf numFmtId="0" fontId="2" fillId="3" borderId="6" xfId="0" applyFont="1" applyFill="1" applyBorder="1"/>
    <xf numFmtId="0" fontId="2" fillId="3" borderId="0" xfId="0" applyFont="1" applyFill="1"/>
    <xf numFmtId="0" fontId="2" fillId="3" borderId="0" xfId="0" applyFont="1" applyFill="1" applyAlignment="1">
      <alignment horizontal="left"/>
    </xf>
    <xf numFmtId="1" fontId="2" fillId="3" borderId="0" xfId="0" applyNumberFormat="1" applyFont="1" applyFill="1"/>
    <xf numFmtId="0" fontId="2" fillId="3" borderId="2" xfId="0" applyFont="1" applyFill="1" applyBorder="1"/>
    <xf numFmtId="164" fontId="2" fillId="2" borderId="0" xfId="1" applyNumberFormat="1" applyFont="1" applyFill="1" applyBorder="1" applyAlignment="1">
      <alignment horizontal="right"/>
    </xf>
    <xf numFmtId="164" fontId="2" fillId="2" borderId="0" xfId="1" applyNumberFormat="1" applyFont="1" applyFill="1" applyBorder="1" applyAlignment="1">
      <alignment horizontal="left"/>
    </xf>
    <xf numFmtId="165" fontId="4" fillId="3" borderId="0" xfId="2" applyNumberFormat="1" applyFont="1" applyFill="1" applyBorder="1" applyAlignment="1">
      <alignment horizontal="left"/>
    </xf>
    <xf numFmtId="165" fontId="4" fillId="3" borderId="2" xfId="2" applyNumberFormat="1" applyFont="1" applyFill="1" applyBorder="1" applyAlignment="1">
      <alignment horizontal="left"/>
    </xf>
    <xf numFmtId="0" fontId="2" fillId="2" borderId="0" xfId="0" applyFont="1" applyFill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/>
    <xf numFmtId="164" fontId="9" fillId="3" borderId="2" xfId="1" applyNumberFormat="1" applyFont="1" applyFill="1" applyBorder="1" applyAlignment="1">
      <alignment horizontal="center"/>
    </xf>
    <xf numFmtId="164" fontId="9" fillId="3" borderId="2" xfId="1" applyNumberFormat="1" applyFont="1" applyFill="1" applyBorder="1"/>
    <xf numFmtId="0" fontId="5" fillId="3" borderId="2" xfId="0" applyFont="1" applyFill="1" applyBorder="1"/>
    <xf numFmtId="2" fontId="9" fillId="3" borderId="2" xfId="0" applyNumberFormat="1" applyFont="1" applyFill="1" applyBorder="1"/>
    <xf numFmtId="0" fontId="9" fillId="3" borderId="2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right"/>
    </xf>
    <xf numFmtId="2" fontId="5" fillId="3" borderId="0" xfId="0" applyNumberFormat="1" applyFont="1" applyFill="1"/>
    <xf numFmtId="2" fontId="9" fillId="3" borderId="0" xfId="0" applyNumberFormat="1" applyFont="1" applyFill="1"/>
    <xf numFmtId="164" fontId="9" fillId="3" borderId="0" xfId="1" applyNumberFormat="1" applyFont="1" applyFill="1" applyBorder="1"/>
    <xf numFmtId="0" fontId="9" fillId="3" borderId="0" xfId="0" applyFont="1" applyFill="1" applyAlignment="1">
      <alignment horizontal="center" vertical="center"/>
    </xf>
    <xf numFmtId="0" fontId="5" fillId="3" borderId="8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vertical="center"/>
    </xf>
    <xf numFmtId="0" fontId="5" fillId="3" borderId="6" xfId="0" applyFont="1" applyFill="1" applyBorder="1"/>
    <xf numFmtId="0" fontId="5" fillId="3" borderId="7" xfId="0" applyFont="1" applyFill="1" applyBorder="1"/>
    <xf numFmtId="0" fontId="8" fillId="3" borderId="7" xfId="0" applyFont="1" applyFill="1" applyBorder="1"/>
    <xf numFmtId="0" fontId="5" fillId="3" borderId="6" xfId="0" applyFont="1" applyFill="1" applyBorder="1" applyAlignment="1">
      <alignment horizontal="center" vertical="center"/>
    </xf>
    <xf numFmtId="164" fontId="9" fillId="3" borderId="0" xfId="1" applyNumberFormat="1" applyFont="1" applyFill="1"/>
    <xf numFmtId="0" fontId="5" fillId="3" borderId="3" xfId="0" applyFont="1" applyFill="1" applyBorder="1"/>
    <xf numFmtId="0" fontId="8" fillId="3" borderId="3" xfId="0" applyFont="1" applyFill="1" applyBorder="1"/>
    <xf numFmtId="0" fontId="8" fillId="3" borderId="0" xfId="0" applyFont="1" applyFill="1" applyAlignment="1">
      <alignment vertical="center"/>
    </xf>
    <xf numFmtId="0" fontId="8" fillId="3" borderId="3" xfId="0" applyFont="1" applyFill="1" applyBorder="1" applyAlignment="1">
      <alignment vertical="center"/>
    </xf>
    <xf numFmtId="0" fontId="5" fillId="3" borderId="4" xfId="0" applyFont="1" applyFill="1" applyBorder="1"/>
    <xf numFmtId="2" fontId="5" fillId="3" borderId="0" xfId="0" applyNumberFormat="1" applyFont="1" applyFill="1" applyAlignment="1">
      <alignment horizontal="left"/>
    </xf>
    <xf numFmtId="49" fontId="5" fillId="3" borderId="0" xfId="0" applyNumberFormat="1" applyFont="1" applyFill="1" applyAlignment="1">
      <alignment horizontal="left"/>
    </xf>
    <xf numFmtId="2" fontId="5" fillId="3" borderId="3" xfId="0" applyNumberFormat="1" applyFont="1" applyFill="1" applyBorder="1" applyAlignment="1">
      <alignment horizontal="left"/>
    </xf>
    <xf numFmtId="0" fontId="9" fillId="3" borderId="0" xfId="0" applyFont="1" applyFill="1"/>
    <xf numFmtId="49" fontId="9" fillId="3" borderId="0" xfId="0" applyNumberFormat="1" applyFont="1" applyFill="1"/>
    <xf numFmtId="0" fontId="5" fillId="3" borderId="0" xfId="0" applyFont="1" applyFill="1" applyAlignment="1">
      <alignment horizontal="left"/>
    </xf>
    <xf numFmtId="49" fontId="5" fillId="3" borderId="0" xfId="0" applyNumberFormat="1" applyFont="1" applyFill="1"/>
    <xf numFmtId="0" fontId="9" fillId="3" borderId="2" xfId="0" applyFont="1" applyFill="1" applyBorder="1"/>
    <xf numFmtId="49" fontId="5" fillId="3" borderId="2" xfId="0" applyNumberFormat="1" applyFont="1" applyFill="1" applyBorder="1"/>
    <xf numFmtId="0" fontId="5" fillId="3" borderId="2" xfId="0" applyFont="1" applyFill="1" applyBorder="1" applyAlignment="1">
      <alignment horizontal="left"/>
    </xf>
    <xf numFmtId="0" fontId="6" fillId="3" borderId="0" xfId="0" applyFont="1" applyFill="1"/>
    <xf numFmtId="0" fontId="5" fillId="3" borderId="3" xfId="0" applyFont="1" applyFill="1" applyBorder="1" applyAlignment="1">
      <alignment horizontal="left"/>
    </xf>
    <xf numFmtId="0" fontId="10" fillId="0" borderId="0" xfId="0" applyFont="1"/>
    <xf numFmtId="0" fontId="11" fillId="0" borderId="0" xfId="0" applyFont="1"/>
    <xf numFmtId="0" fontId="4" fillId="3" borderId="0" xfId="0" applyFont="1" applyFill="1" applyAlignment="1">
      <alignment horizontal="left" vertical="center"/>
    </xf>
    <xf numFmtId="165" fontId="14" fillId="3" borderId="4" xfId="2" applyNumberFormat="1" applyFont="1" applyFill="1" applyBorder="1" applyAlignment="1">
      <alignment horizontal="center"/>
    </xf>
    <xf numFmtId="165" fontId="14" fillId="3" borderId="0" xfId="2" applyNumberFormat="1" applyFont="1" applyFill="1" applyBorder="1" applyAlignment="1">
      <alignment horizontal="center"/>
    </xf>
    <xf numFmtId="165" fontId="14" fillId="3" borderId="3" xfId="2" applyNumberFormat="1" applyFont="1" applyFill="1" applyBorder="1" applyAlignment="1">
      <alignment horizontal="center"/>
    </xf>
    <xf numFmtId="165" fontId="14" fillId="3" borderId="9" xfId="2" applyNumberFormat="1" applyFont="1" applyFill="1" applyBorder="1" applyAlignment="1">
      <alignment horizontal="center"/>
    </xf>
    <xf numFmtId="165" fontId="14" fillId="3" borderId="10" xfId="2" applyNumberFormat="1" applyFont="1" applyFill="1" applyBorder="1" applyAlignment="1">
      <alignment horizontal="center"/>
    </xf>
    <xf numFmtId="165" fontId="14" fillId="3" borderId="2" xfId="2" applyNumberFormat="1" applyFont="1" applyFill="1" applyBorder="1" applyAlignment="1">
      <alignment horizontal="center"/>
    </xf>
    <xf numFmtId="164" fontId="2" fillId="2" borderId="3" xfId="1" applyNumberFormat="1" applyFont="1" applyFill="1" applyBorder="1" applyAlignment="1">
      <alignment horizontal="center" vertical="center"/>
    </xf>
    <xf numFmtId="0" fontId="12" fillId="3" borderId="13" xfId="0" applyFont="1" applyFill="1" applyBorder="1"/>
    <xf numFmtId="0" fontId="12" fillId="3" borderId="12" xfId="0" applyFont="1" applyFill="1" applyBorder="1"/>
    <xf numFmtId="0" fontId="12" fillId="3" borderId="14" xfId="0" applyFont="1" applyFill="1" applyBorder="1"/>
    <xf numFmtId="0" fontId="12" fillId="3" borderId="13" xfId="0" applyFont="1" applyFill="1" applyBorder="1" applyAlignment="1">
      <alignment horizontal="left"/>
    </xf>
    <xf numFmtId="0" fontId="12" fillId="3" borderId="12" xfId="0" applyFont="1" applyFill="1" applyBorder="1" applyAlignment="1">
      <alignment horizontal="left"/>
    </xf>
    <xf numFmtId="1" fontId="12" fillId="3" borderId="14" xfId="0" applyNumberFormat="1" applyFont="1" applyFill="1" applyBorder="1"/>
    <xf numFmtId="1" fontId="12" fillId="3" borderId="13" xfId="0" applyNumberFormat="1" applyFont="1" applyFill="1" applyBorder="1"/>
    <xf numFmtId="0" fontId="12" fillId="3" borderId="15" xfId="0" applyFont="1" applyFill="1" applyBorder="1"/>
    <xf numFmtId="0" fontId="12" fillId="3" borderId="16" xfId="0" applyFont="1" applyFill="1" applyBorder="1"/>
    <xf numFmtId="0" fontId="12" fillId="3" borderId="17" xfId="0" applyFont="1" applyFill="1" applyBorder="1"/>
    <xf numFmtId="164" fontId="2" fillId="2" borderId="20" xfId="1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164" fontId="13" fillId="3" borderId="21" xfId="1" applyNumberFormat="1" applyFont="1" applyFill="1" applyBorder="1" applyAlignment="1">
      <alignment horizontal="center"/>
    </xf>
    <xf numFmtId="0" fontId="14" fillId="3" borderId="13" xfId="2" applyNumberFormat="1" applyFont="1" applyFill="1" applyBorder="1" applyAlignment="1">
      <alignment horizontal="center"/>
    </xf>
    <xf numFmtId="49" fontId="14" fillId="3" borderId="13" xfId="2" applyNumberFormat="1" applyFont="1" applyFill="1" applyBorder="1" applyAlignment="1">
      <alignment horizontal="center"/>
    </xf>
    <xf numFmtId="164" fontId="13" fillId="3" borderId="20" xfId="1" applyNumberFormat="1" applyFont="1" applyFill="1" applyBorder="1" applyAlignment="1">
      <alignment horizontal="center"/>
    </xf>
    <xf numFmtId="49" fontId="14" fillId="3" borderId="12" xfId="2" applyNumberFormat="1" applyFont="1" applyFill="1" applyBorder="1" applyAlignment="1">
      <alignment horizontal="center"/>
    </xf>
    <xf numFmtId="164" fontId="13" fillId="3" borderId="22" xfId="1" applyNumberFormat="1" applyFont="1" applyFill="1" applyBorder="1" applyAlignment="1">
      <alignment horizontal="center"/>
    </xf>
    <xf numFmtId="49" fontId="14" fillId="3" borderId="14" xfId="2" applyNumberFormat="1" applyFont="1" applyFill="1" applyBorder="1" applyAlignment="1">
      <alignment horizontal="center"/>
    </xf>
    <xf numFmtId="164" fontId="13" fillId="3" borderId="23" xfId="1" applyNumberFormat="1" applyFont="1" applyFill="1" applyBorder="1" applyAlignment="1">
      <alignment horizontal="center"/>
    </xf>
    <xf numFmtId="49" fontId="14" fillId="3" borderId="15" xfId="2" applyNumberFormat="1" applyFont="1" applyFill="1" applyBorder="1" applyAlignment="1">
      <alignment horizontal="center"/>
    </xf>
    <xf numFmtId="164" fontId="13" fillId="3" borderId="24" xfId="1" applyNumberFormat="1" applyFont="1" applyFill="1" applyBorder="1" applyAlignment="1">
      <alignment horizontal="center"/>
    </xf>
    <xf numFmtId="49" fontId="14" fillId="3" borderId="16" xfId="2" applyNumberFormat="1" applyFont="1" applyFill="1" applyBorder="1" applyAlignment="1">
      <alignment horizontal="center"/>
    </xf>
    <xf numFmtId="165" fontId="14" fillId="3" borderId="13" xfId="2" applyNumberFormat="1" applyFont="1" applyFill="1" applyBorder="1" applyAlignment="1">
      <alignment horizontal="center"/>
    </xf>
    <xf numFmtId="164" fontId="13" fillId="3" borderId="25" xfId="1" applyNumberFormat="1" applyFont="1" applyFill="1" applyBorder="1" applyAlignment="1">
      <alignment horizontal="center"/>
    </xf>
    <xf numFmtId="165" fontId="14" fillId="3" borderId="17" xfId="2" applyNumberFormat="1" applyFont="1" applyFill="1" applyBorder="1" applyAlignment="1">
      <alignment horizontal="center"/>
    </xf>
    <xf numFmtId="164" fontId="14" fillId="3" borderId="22" xfId="1" applyNumberFormat="1" applyFont="1" applyFill="1" applyBorder="1" applyAlignment="1">
      <alignment horizontal="center"/>
    </xf>
    <xf numFmtId="164" fontId="14" fillId="3" borderId="20" xfId="1" applyNumberFormat="1" applyFont="1" applyFill="1" applyBorder="1" applyAlignment="1">
      <alignment horizontal="center"/>
    </xf>
    <xf numFmtId="164" fontId="14" fillId="3" borderId="22" xfId="0" applyNumberFormat="1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/>
    </xf>
    <xf numFmtId="164" fontId="14" fillId="3" borderId="20" xfId="0" applyNumberFormat="1" applyFont="1" applyFill="1" applyBorder="1" applyAlignment="1">
      <alignment horizontal="center"/>
    </xf>
    <xf numFmtId="164" fontId="14" fillId="3" borderId="21" xfId="1" applyNumberFormat="1" applyFont="1" applyFill="1" applyBorder="1" applyAlignment="1">
      <alignment horizontal="center"/>
    </xf>
    <xf numFmtId="164" fontId="14" fillId="3" borderId="23" xfId="0" applyNumberFormat="1" applyFont="1" applyFill="1" applyBorder="1" applyAlignment="1">
      <alignment horizontal="center"/>
    </xf>
    <xf numFmtId="164" fontId="14" fillId="3" borderId="24" xfId="0" applyNumberFormat="1" applyFont="1" applyFill="1" applyBorder="1" applyAlignment="1">
      <alignment horizontal="center"/>
    </xf>
    <xf numFmtId="164" fontId="14" fillId="3" borderId="25" xfId="0" applyNumberFormat="1" applyFont="1" applyFill="1" applyBorder="1" applyAlignment="1">
      <alignment horizontal="center"/>
    </xf>
    <xf numFmtId="0" fontId="2" fillId="3" borderId="8" xfId="0" applyFont="1" applyFill="1" applyBorder="1" applyAlignment="1">
      <alignment vertical="center" wrapText="1"/>
    </xf>
    <xf numFmtId="164" fontId="4" fillId="3" borderId="27" xfId="1" applyNumberFormat="1" applyFont="1" applyFill="1" applyBorder="1" applyAlignment="1">
      <alignment horizontal="right"/>
    </xf>
    <xf numFmtId="164" fontId="4" fillId="3" borderId="27" xfId="1" applyNumberFormat="1" applyFont="1" applyFill="1" applyBorder="1" applyAlignment="1">
      <alignment horizontal="center"/>
    </xf>
    <xf numFmtId="164" fontId="15" fillId="3" borderId="8" xfId="1" applyNumberFormat="1" applyFont="1" applyFill="1" applyBorder="1" applyAlignment="1">
      <alignment horizontal="center"/>
    </xf>
    <xf numFmtId="164" fontId="15" fillId="3" borderId="26" xfId="1" applyNumberFormat="1" applyFont="1" applyFill="1" applyBorder="1" applyAlignment="1">
      <alignment horizontal="center"/>
    </xf>
    <xf numFmtId="164" fontId="4" fillId="3" borderId="0" xfId="1" applyNumberFormat="1" applyFont="1" applyFill="1" applyBorder="1" applyAlignment="1">
      <alignment horizontal="center"/>
    </xf>
    <xf numFmtId="164" fontId="4" fillId="3" borderId="3" xfId="1" applyNumberFormat="1" applyFont="1" applyFill="1" applyBorder="1" applyAlignment="1">
      <alignment horizontal="center"/>
    </xf>
    <xf numFmtId="164" fontId="4" fillId="3" borderId="4" xfId="1" applyNumberFormat="1" applyFont="1" applyFill="1" applyBorder="1" applyAlignment="1">
      <alignment horizontal="center"/>
    </xf>
    <xf numFmtId="164" fontId="4" fillId="3" borderId="22" xfId="1" applyNumberFormat="1" applyFont="1" applyFill="1" applyBorder="1" applyAlignment="1">
      <alignment horizontal="center"/>
    </xf>
    <xf numFmtId="164" fontId="4" fillId="3" borderId="20" xfId="1" applyNumberFormat="1" applyFont="1" applyFill="1" applyBorder="1" applyAlignment="1">
      <alignment horizontal="center"/>
    </xf>
    <xf numFmtId="164" fontId="4" fillId="3" borderId="21" xfId="1" applyNumberFormat="1" applyFont="1" applyFill="1" applyBorder="1" applyAlignment="1">
      <alignment horizontal="center"/>
    </xf>
    <xf numFmtId="164" fontId="4" fillId="3" borderId="20" xfId="1" applyNumberFormat="1" applyFont="1" applyFill="1" applyBorder="1" applyAlignment="1">
      <alignment horizontal="right"/>
    </xf>
    <xf numFmtId="164" fontId="4" fillId="3" borderId="4" xfId="1" applyNumberFormat="1" applyFont="1" applyFill="1" applyBorder="1" applyAlignment="1">
      <alignment horizontal="right"/>
    </xf>
    <xf numFmtId="164" fontId="4" fillId="3" borderId="3" xfId="1" applyNumberFormat="1" applyFont="1" applyFill="1" applyBorder="1" applyAlignment="1">
      <alignment horizontal="right"/>
    </xf>
    <xf numFmtId="164" fontId="4" fillId="3" borderId="22" xfId="1" applyNumberFormat="1" applyFont="1" applyFill="1" applyBorder="1" applyAlignment="1">
      <alignment horizontal="right"/>
    </xf>
    <xf numFmtId="164" fontId="4" fillId="3" borderId="21" xfId="1" applyNumberFormat="1" applyFont="1" applyFill="1" applyBorder="1" applyAlignment="1">
      <alignment horizontal="right"/>
    </xf>
    <xf numFmtId="164" fontId="4" fillId="3" borderId="25" xfId="1" applyNumberFormat="1" applyFont="1" applyFill="1" applyBorder="1" applyAlignment="1">
      <alignment horizontal="right"/>
    </xf>
    <xf numFmtId="164" fontId="4" fillId="3" borderId="2" xfId="1" applyNumberFormat="1" applyFont="1" applyFill="1" applyBorder="1" applyAlignment="1">
      <alignment horizontal="right"/>
    </xf>
    <xf numFmtId="164" fontId="4" fillId="3" borderId="2" xfId="1" applyNumberFormat="1" applyFont="1" applyFill="1" applyBorder="1" applyAlignment="1">
      <alignment horizontal="center"/>
    </xf>
    <xf numFmtId="164" fontId="4" fillId="3" borderId="25" xfId="1" applyNumberFormat="1" applyFont="1" applyFill="1" applyBorder="1" applyAlignment="1">
      <alignment horizontal="center"/>
    </xf>
    <xf numFmtId="166" fontId="3" fillId="3" borderId="0" xfId="2" applyNumberFormat="1" applyFont="1" applyFill="1" applyBorder="1" applyAlignment="1">
      <alignment horizontal="center"/>
    </xf>
    <xf numFmtId="0" fontId="0" fillId="3" borderId="29" xfId="0" applyFill="1" applyBorder="1"/>
    <xf numFmtId="166" fontId="3" fillId="3" borderId="4" xfId="2" applyNumberFormat="1" applyFont="1" applyFill="1" applyBorder="1" applyAlignment="1">
      <alignment horizontal="center"/>
    </xf>
    <xf numFmtId="166" fontId="3" fillId="3" borderId="2" xfId="2" applyNumberFormat="1" applyFont="1" applyFill="1" applyBorder="1" applyAlignment="1">
      <alignment horizontal="center"/>
    </xf>
    <xf numFmtId="164" fontId="4" fillId="3" borderId="18" xfId="1" applyNumberFormat="1" applyFont="1" applyFill="1" applyBorder="1" applyAlignment="1">
      <alignment horizontal="right"/>
    </xf>
    <xf numFmtId="164" fontId="4" fillId="3" borderId="7" xfId="1" applyNumberFormat="1" applyFont="1" applyFill="1" applyBorder="1" applyAlignment="1">
      <alignment horizontal="right"/>
    </xf>
    <xf numFmtId="164" fontId="4" fillId="3" borderId="7" xfId="1" applyNumberFormat="1" applyFont="1" applyFill="1" applyBorder="1" applyAlignment="1">
      <alignment horizontal="center"/>
    </xf>
    <xf numFmtId="166" fontId="3" fillId="3" borderId="3" xfId="2" applyNumberFormat="1" applyFont="1" applyFill="1" applyBorder="1" applyAlignment="1">
      <alignment horizontal="center"/>
    </xf>
    <xf numFmtId="164" fontId="4" fillId="3" borderId="7" xfId="1" applyNumberFormat="1" applyFont="1" applyFill="1" applyBorder="1" applyAlignment="1">
      <alignment horizontal="center" vertical="center"/>
    </xf>
    <xf numFmtId="164" fontId="4" fillId="3" borderId="19" xfId="1" applyNumberFormat="1" applyFont="1" applyFill="1" applyBorder="1" applyAlignment="1">
      <alignment horizontal="center" vertical="center"/>
    </xf>
    <xf numFmtId="166" fontId="3" fillId="3" borderId="14" xfId="2" applyNumberFormat="1" applyFont="1" applyFill="1" applyBorder="1" applyAlignment="1">
      <alignment horizontal="center"/>
    </xf>
    <xf numFmtId="166" fontId="3" fillId="3" borderId="13" xfId="2" applyNumberFormat="1" applyFont="1" applyFill="1" applyBorder="1" applyAlignment="1">
      <alignment horizontal="center"/>
    </xf>
    <xf numFmtId="166" fontId="3" fillId="3" borderId="12" xfId="2" applyNumberFormat="1" applyFont="1" applyFill="1" applyBorder="1" applyAlignment="1">
      <alignment horizontal="center"/>
    </xf>
    <xf numFmtId="166" fontId="3" fillId="3" borderId="17" xfId="2" applyNumberFormat="1" applyFont="1" applyFill="1" applyBorder="1" applyAlignment="1">
      <alignment horizontal="center"/>
    </xf>
    <xf numFmtId="2" fontId="5" fillId="3" borderId="2" xfId="0" applyNumberFormat="1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2" fontId="5" fillId="3" borderId="4" xfId="0" applyNumberFormat="1" applyFont="1" applyFill="1" applyBorder="1" applyAlignment="1">
      <alignment horizontal="left"/>
    </xf>
    <xf numFmtId="1" fontId="5" fillId="3" borderId="4" xfId="1" applyNumberFormat="1" applyFont="1" applyFill="1" applyBorder="1" applyAlignment="1">
      <alignment horizontal="left"/>
    </xf>
    <xf numFmtId="1" fontId="5" fillId="3" borderId="0" xfId="1" applyNumberFormat="1" applyFont="1" applyFill="1" applyBorder="1" applyAlignment="1">
      <alignment horizontal="left"/>
    </xf>
    <xf numFmtId="1" fontId="5" fillId="3" borderId="2" xfId="1" applyNumberFormat="1" applyFont="1" applyFill="1" applyBorder="1" applyAlignment="1">
      <alignment horizontal="left"/>
    </xf>
    <xf numFmtId="49" fontId="5" fillId="3" borderId="2" xfId="0" applyNumberFormat="1" applyFont="1" applyFill="1" applyBorder="1" applyAlignment="1">
      <alignment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164" fontId="4" fillId="3" borderId="18" xfId="1" applyNumberFormat="1" applyFont="1" applyFill="1" applyBorder="1" applyAlignment="1">
      <alignment horizontal="center"/>
    </xf>
    <xf numFmtId="166" fontId="4" fillId="3" borderId="4" xfId="2" applyNumberFormat="1" applyFont="1" applyFill="1" applyBorder="1" applyAlignment="1">
      <alignment horizontal="center"/>
    </xf>
    <xf numFmtId="166" fontId="4" fillId="3" borderId="13" xfId="2" applyNumberFormat="1" applyFont="1" applyFill="1" applyBorder="1" applyAlignment="1">
      <alignment horizontal="center"/>
    </xf>
    <xf numFmtId="166" fontId="4" fillId="3" borderId="0" xfId="2" applyNumberFormat="1" applyFont="1" applyFill="1" applyBorder="1" applyAlignment="1">
      <alignment horizontal="center"/>
    </xf>
    <xf numFmtId="166" fontId="4" fillId="3" borderId="12" xfId="2" applyNumberFormat="1" applyFont="1" applyFill="1" applyBorder="1" applyAlignment="1">
      <alignment horizontal="center"/>
    </xf>
    <xf numFmtId="166" fontId="4" fillId="3" borderId="3" xfId="2" applyNumberFormat="1" applyFont="1" applyFill="1" applyBorder="1" applyAlignment="1">
      <alignment horizontal="center"/>
    </xf>
    <xf numFmtId="166" fontId="4" fillId="3" borderId="14" xfId="2" applyNumberFormat="1" applyFont="1" applyFill="1" applyBorder="1" applyAlignment="1">
      <alignment horizontal="center"/>
    </xf>
    <xf numFmtId="166" fontId="4" fillId="3" borderId="17" xfId="2" applyNumberFormat="1" applyFont="1" applyFill="1" applyBorder="1" applyAlignment="1">
      <alignment horizontal="center"/>
    </xf>
    <xf numFmtId="166" fontId="4" fillId="3" borderId="2" xfId="2" applyNumberFormat="1" applyFont="1" applyFill="1" applyBorder="1" applyAlignment="1">
      <alignment horizontal="center"/>
    </xf>
    <xf numFmtId="164" fontId="4" fillId="3" borderId="32" xfId="1" applyNumberFormat="1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left" vertical="center" wrapText="1"/>
    </xf>
    <xf numFmtId="0" fontId="4" fillId="3" borderId="34" xfId="2" applyNumberFormat="1" applyFont="1" applyFill="1" applyBorder="1" applyAlignment="1">
      <alignment horizontal="center" vertical="center"/>
    </xf>
    <xf numFmtId="2" fontId="14" fillId="3" borderId="2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164" fontId="2" fillId="3" borderId="0" xfId="1" applyNumberFormat="1" applyFont="1" applyFill="1" applyBorder="1" applyAlignment="1">
      <alignment horizontal="right"/>
    </xf>
    <xf numFmtId="164" fontId="2" fillId="3" borderId="0" xfId="1" applyNumberFormat="1" applyFont="1" applyFill="1" applyBorder="1" applyAlignment="1">
      <alignment horizontal="left"/>
    </xf>
    <xf numFmtId="0" fontId="2" fillId="2" borderId="3" xfId="0" applyFont="1" applyFill="1" applyBorder="1" applyAlignment="1">
      <alignment horizontal="center" vertical="center" wrapText="1"/>
    </xf>
    <xf numFmtId="49" fontId="14" fillId="3" borderId="0" xfId="2" applyNumberFormat="1" applyFont="1" applyFill="1" applyBorder="1" applyAlignment="1">
      <alignment horizontal="center"/>
    </xf>
    <xf numFmtId="49" fontId="14" fillId="3" borderId="3" xfId="2" applyNumberFormat="1" applyFont="1" applyFill="1" applyBorder="1" applyAlignment="1">
      <alignment horizontal="center"/>
    </xf>
    <xf numFmtId="49" fontId="14" fillId="3" borderId="4" xfId="2" applyNumberFormat="1" applyFont="1" applyFill="1" applyBorder="1" applyAlignment="1">
      <alignment horizontal="center"/>
    </xf>
    <xf numFmtId="49" fontId="14" fillId="3" borderId="9" xfId="2" applyNumberFormat="1" applyFont="1" applyFill="1" applyBorder="1" applyAlignment="1">
      <alignment horizontal="center"/>
    </xf>
    <xf numFmtId="49" fontId="14" fillId="3" borderId="10" xfId="2" applyNumberFormat="1" applyFont="1" applyFill="1" applyBorder="1" applyAlignment="1">
      <alignment horizontal="center"/>
    </xf>
    <xf numFmtId="0" fontId="16" fillId="0" borderId="0" xfId="0" applyFont="1"/>
    <xf numFmtId="164" fontId="14" fillId="3" borderId="21" xfId="0" applyNumberFormat="1" applyFont="1" applyFill="1" applyBorder="1" applyAlignment="1">
      <alignment horizontal="right"/>
    </xf>
    <xf numFmtId="164" fontId="14" fillId="3" borderId="23" xfId="0" applyNumberFormat="1" applyFont="1" applyFill="1" applyBorder="1" applyAlignment="1">
      <alignment horizontal="right"/>
    </xf>
    <xf numFmtId="0" fontId="14" fillId="3" borderId="0" xfId="2" applyNumberFormat="1" applyFont="1" applyFill="1" applyBorder="1" applyAlignment="1">
      <alignment horizontal="center"/>
    </xf>
    <xf numFmtId="164" fontId="13" fillId="3" borderId="4" xfId="1" applyNumberFormat="1" applyFont="1" applyFill="1" applyBorder="1" applyAlignment="1">
      <alignment horizontal="center"/>
    </xf>
    <xf numFmtId="164" fontId="14" fillId="3" borderId="4" xfId="0" applyNumberFormat="1" applyFont="1" applyFill="1" applyBorder="1" applyAlignment="1">
      <alignment horizontal="right"/>
    </xf>
    <xf numFmtId="0" fontId="12" fillId="3" borderId="33" xfId="0" applyFont="1" applyFill="1" applyBorder="1"/>
    <xf numFmtId="164" fontId="4" fillId="3" borderId="3" xfId="1" applyNumberFormat="1" applyFont="1" applyFill="1" applyBorder="1" applyAlignment="1">
      <alignment horizontal="center" vertical="center"/>
    </xf>
    <xf numFmtId="164" fontId="4" fillId="3" borderId="12" xfId="1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7" fillId="0" borderId="0" xfId="0" applyFont="1"/>
    <xf numFmtId="164" fontId="9" fillId="3" borderId="0" xfId="1" applyNumberFormat="1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9" fillId="3" borderId="4" xfId="0" applyFont="1" applyFill="1" applyBorder="1" applyAlignment="1">
      <alignment horizontal="center" vertical="center"/>
    </xf>
    <xf numFmtId="164" fontId="9" fillId="3" borderId="4" xfId="1" applyNumberFormat="1" applyFont="1" applyFill="1" applyBorder="1"/>
    <xf numFmtId="2" fontId="9" fillId="3" borderId="4" xfId="0" applyNumberFormat="1" applyFont="1" applyFill="1" applyBorder="1"/>
    <xf numFmtId="0" fontId="9" fillId="3" borderId="3" xfId="0" applyFont="1" applyFill="1" applyBorder="1" applyAlignment="1">
      <alignment horizontal="center" vertical="center"/>
    </xf>
    <xf numFmtId="164" fontId="9" fillId="3" borderId="3" xfId="1" applyNumberFormat="1" applyFont="1" applyFill="1" applyBorder="1"/>
    <xf numFmtId="2" fontId="9" fillId="3" borderId="3" xfId="0" applyNumberFormat="1" applyFont="1" applyFill="1" applyBorder="1"/>
    <xf numFmtId="164" fontId="9" fillId="3" borderId="3" xfId="1" applyNumberFormat="1" applyFont="1" applyFill="1" applyBorder="1" applyAlignment="1">
      <alignment horizontal="center"/>
    </xf>
    <xf numFmtId="2" fontId="5" fillId="3" borderId="4" xfId="0" applyNumberFormat="1" applyFont="1" applyFill="1" applyBorder="1" applyAlignment="1">
      <alignment horizontal="center"/>
    </xf>
    <xf numFmtId="2" fontId="5" fillId="3" borderId="0" xfId="0" applyNumberFormat="1" applyFont="1" applyFill="1" applyAlignment="1">
      <alignment horizontal="center"/>
    </xf>
    <xf numFmtId="0" fontId="5" fillId="3" borderId="4" xfId="0" applyFont="1" applyFill="1" applyBorder="1" applyAlignment="1">
      <alignment horizontal="center"/>
    </xf>
    <xf numFmtId="164" fontId="9" fillId="3" borderId="3" xfId="1" applyNumberFormat="1" applyFont="1" applyFill="1" applyBorder="1" applyAlignment="1">
      <alignment horizontal="right"/>
    </xf>
    <xf numFmtId="164" fontId="9" fillId="3" borderId="4" xfId="1" applyNumberFormat="1" applyFont="1" applyFill="1" applyBorder="1" applyAlignment="1"/>
    <xf numFmtId="164" fontId="9" fillId="3" borderId="0" xfId="1" applyNumberFormat="1" applyFont="1" applyFill="1" applyBorder="1" applyAlignment="1"/>
    <xf numFmtId="2" fontId="5" fillId="3" borderId="3" xfId="0" applyNumberFormat="1" applyFont="1" applyFill="1" applyBorder="1" applyAlignment="1">
      <alignment horizontal="center"/>
    </xf>
    <xf numFmtId="2" fontId="5" fillId="3" borderId="2" xfId="0" applyNumberFormat="1" applyFont="1" applyFill="1" applyBorder="1" applyAlignment="1">
      <alignment horizontal="center"/>
    </xf>
    <xf numFmtId="0" fontId="0" fillId="5" borderId="0" xfId="0" applyFill="1"/>
    <xf numFmtId="0" fontId="18" fillId="5" borderId="0" xfId="0" applyFont="1" applyFill="1"/>
    <xf numFmtId="49" fontId="5" fillId="3" borderId="4" xfId="0" applyNumberFormat="1" applyFont="1" applyFill="1" applyBorder="1" applyAlignment="1">
      <alignment horizontal="left"/>
    </xf>
    <xf numFmtId="49" fontId="9" fillId="3" borderId="3" xfId="1" applyNumberFormat="1" applyFont="1" applyFill="1" applyBorder="1" applyAlignment="1">
      <alignment horizontal="center"/>
    </xf>
    <xf numFmtId="49" fontId="9" fillId="3" borderId="2" xfId="1" applyNumberFormat="1" applyFont="1" applyFill="1" applyBorder="1" applyAlignment="1">
      <alignment horizontal="center"/>
    </xf>
    <xf numFmtId="49" fontId="5" fillId="3" borderId="4" xfId="0" applyNumberFormat="1" applyFont="1" applyFill="1" applyBorder="1" applyAlignment="1">
      <alignment horizontal="center"/>
    </xf>
    <xf numFmtId="49" fontId="5" fillId="3" borderId="0" xfId="0" applyNumberFormat="1" applyFont="1" applyFill="1" applyAlignment="1">
      <alignment horizontal="center"/>
    </xf>
    <xf numFmtId="1" fontId="5" fillId="3" borderId="3" xfId="1" applyNumberFormat="1" applyFont="1" applyFill="1" applyBorder="1" applyAlignment="1">
      <alignment horizontal="left"/>
    </xf>
    <xf numFmtId="0" fontId="8" fillId="3" borderId="7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3" borderId="6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left" vertical="center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2" xfId="0" applyFont="1" applyFill="1" applyBorder="1" applyAlignment="1">
      <alignment horizontal="left" vertical="center" wrapText="1"/>
    </xf>
    <xf numFmtId="0" fontId="12" fillId="3" borderId="16" xfId="0" applyFont="1" applyFill="1" applyBorder="1" applyAlignment="1">
      <alignment horizontal="left" vertical="center" wrapText="1"/>
    </xf>
    <xf numFmtId="0" fontId="12" fillId="3" borderId="15" xfId="0" applyFont="1" applyFill="1" applyBorder="1" applyAlignment="1">
      <alignment horizontal="left" vertical="center" wrapText="1"/>
    </xf>
    <xf numFmtId="0" fontId="12" fillId="3" borderId="17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2" borderId="1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2" fontId="14" fillId="3" borderId="22" xfId="0" applyNumberFormat="1" applyFont="1" applyFill="1" applyBorder="1" applyAlignment="1">
      <alignment horizontal="center" vertical="center"/>
    </xf>
    <xf numFmtId="2" fontId="14" fillId="3" borderId="21" xfId="0" applyNumberFormat="1" applyFont="1" applyFill="1" applyBorder="1" applyAlignment="1">
      <alignment horizontal="center" vertical="center"/>
    </xf>
    <xf numFmtId="2" fontId="14" fillId="3" borderId="20" xfId="0" applyNumberFormat="1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2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2" fontId="5" fillId="3" borderId="2" xfId="0" applyNumberFormat="1" applyFont="1" applyFill="1" applyBorder="1" applyAlignment="1">
      <alignment horizontal="center" vertical="center"/>
    </xf>
    <xf numFmtId="2" fontId="14" fillId="3" borderId="24" xfId="0" applyNumberFormat="1" applyFont="1" applyFill="1" applyBorder="1" applyAlignment="1">
      <alignment horizontal="center" vertical="center"/>
    </xf>
    <xf numFmtId="2" fontId="14" fillId="3" borderId="23" xfId="0" applyNumberFormat="1" applyFont="1" applyFill="1" applyBorder="1" applyAlignment="1">
      <alignment horizontal="center" vertical="center"/>
    </xf>
    <xf numFmtId="2" fontId="14" fillId="3" borderId="25" xfId="0" applyNumberFormat="1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2" fontId="5" fillId="3" borderId="4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49" fontId="5" fillId="3" borderId="4" xfId="0" applyNumberFormat="1" applyFont="1" applyFill="1" applyBorder="1" applyAlignment="1">
      <alignment horizontal="left" vertical="center"/>
    </xf>
    <xf numFmtId="49" fontId="5" fillId="3" borderId="0" xfId="0" applyNumberFormat="1" applyFont="1" applyFill="1" applyAlignment="1">
      <alignment horizontal="left" vertical="center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9" fillId="4" borderId="0" xfId="0" applyFont="1" applyFill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/>
    </xf>
    <xf numFmtId="164" fontId="2" fillId="2" borderId="4" xfId="1" applyNumberFormat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center" vertical="center"/>
    </xf>
    <xf numFmtId="164" fontId="2" fillId="2" borderId="14" xfId="1" applyNumberFormat="1" applyFont="1" applyFill="1" applyBorder="1" applyAlignment="1">
      <alignment horizontal="center" vertical="center" wrapText="1"/>
    </xf>
    <xf numFmtId="164" fontId="2" fillId="2" borderId="17" xfId="1" applyNumberFormat="1" applyFont="1" applyFill="1" applyBorder="1" applyAlignment="1">
      <alignment horizontal="center" vertical="center" wrapText="1"/>
    </xf>
    <xf numFmtId="0" fontId="4" fillId="3" borderId="33" xfId="2" applyNumberFormat="1" applyFont="1" applyFill="1" applyBorder="1" applyAlignment="1">
      <alignment horizontal="center" vertical="center"/>
    </xf>
    <xf numFmtId="0" fontId="4" fillId="3" borderId="34" xfId="2" applyNumberFormat="1" applyFont="1" applyFill="1" applyBorder="1" applyAlignment="1">
      <alignment horizontal="center" vertical="center"/>
    </xf>
    <xf numFmtId="0" fontId="4" fillId="3" borderId="35" xfId="2" applyNumberFormat="1" applyFont="1" applyFill="1" applyBorder="1" applyAlignment="1">
      <alignment horizontal="center" vertical="center"/>
    </xf>
    <xf numFmtId="0" fontId="4" fillId="3" borderId="36" xfId="2" applyNumberFormat="1" applyFont="1" applyFill="1" applyBorder="1" applyAlignment="1">
      <alignment horizontal="center" vertical="center"/>
    </xf>
    <xf numFmtId="164" fontId="2" fillId="2" borderId="30" xfId="1" applyNumberFormat="1" applyFont="1" applyFill="1" applyBorder="1" applyAlignment="1">
      <alignment horizontal="center" vertical="center" wrapText="1"/>
    </xf>
    <xf numFmtId="164" fontId="2" fillId="2" borderId="31" xfId="1" applyNumberFormat="1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164" fontId="2" fillId="2" borderId="22" xfId="1" applyNumberFormat="1" applyFont="1" applyFill="1" applyBorder="1" applyAlignment="1">
      <alignment horizontal="center" vertical="center" wrapText="1"/>
    </xf>
    <xf numFmtId="164" fontId="2" fillId="2" borderId="25" xfId="1" applyNumberFormat="1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/>
    </xf>
    <xf numFmtId="164" fontId="2" fillId="2" borderId="29" xfId="1" applyNumberFormat="1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center"/>
    </xf>
    <xf numFmtId="0" fontId="2" fillId="3" borderId="19" xfId="0" applyFont="1" applyFill="1" applyBorder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23FCC-19BE-4241-B88F-661B0AB4E38D}">
  <dimension ref="B1:AU137"/>
  <sheetViews>
    <sheetView topLeftCell="J74" zoomScale="125" zoomScaleNormal="90" workbookViewId="0">
      <selection activeCell="AF77" sqref="AF77"/>
    </sheetView>
  </sheetViews>
  <sheetFormatPr defaultColWidth="11" defaultRowHeight="15.75"/>
  <cols>
    <col min="3" max="3" width="14" customWidth="1"/>
    <col min="4" max="4" width="28.5" customWidth="1"/>
    <col min="5" max="5" width="7.125" customWidth="1"/>
    <col min="6" max="6" width="9.875" customWidth="1"/>
    <col min="7" max="7" width="9" customWidth="1"/>
    <col min="8" max="8" width="7.5" bestFit="1" customWidth="1"/>
    <col min="9" max="9" width="4.875" customWidth="1"/>
    <col min="10" max="10" width="8.375" customWidth="1"/>
    <col min="11" max="11" width="7.5" bestFit="1" customWidth="1"/>
    <col min="12" max="12" width="5" customWidth="1"/>
    <col min="13" max="13" width="9.125" customWidth="1"/>
    <col min="14" max="14" width="8.5" customWidth="1"/>
    <col min="16" max="16" width="14" customWidth="1"/>
    <col min="17" max="17" width="28.5" customWidth="1"/>
    <col min="18" max="18" width="7.125" customWidth="1"/>
    <col min="19" max="19" width="9.875" customWidth="1"/>
    <col min="20" max="20" width="9" customWidth="1"/>
    <col min="21" max="21" width="7.5" bestFit="1" customWidth="1"/>
    <col min="22" max="22" width="4.875" customWidth="1"/>
    <col min="23" max="23" width="8.375" customWidth="1"/>
    <col min="24" max="24" width="7.5" bestFit="1" customWidth="1"/>
    <col min="25" max="25" width="5" customWidth="1"/>
    <col min="26" max="26" width="9.125" customWidth="1"/>
    <col min="27" max="27" width="7.5" bestFit="1" customWidth="1"/>
    <col min="28" max="28" width="5" customWidth="1"/>
    <col min="29" max="29" width="9.125" customWidth="1"/>
    <col min="30" max="30" width="11" style="1"/>
  </cols>
  <sheetData>
    <row r="1" spans="2:29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3" spans="2:29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2:29" ht="17.100000000000001" hidden="1" customHeight="1">
      <c r="B4" s="1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spans="2:29" ht="15.95" hidden="1" customHeight="1">
      <c r="B5" s="1"/>
      <c r="C5" s="228" t="s">
        <v>0</v>
      </c>
      <c r="D5" s="228"/>
      <c r="E5" s="231" t="s">
        <v>1</v>
      </c>
      <c r="F5" s="233" t="s">
        <v>247</v>
      </c>
      <c r="G5" s="228" t="s">
        <v>248</v>
      </c>
      <c r="H5" s="227" t="s">
        <v>249</v>
      </c>
      <c r="I5" s="227"/>
      <c r="J5" s="227"/>
      <c r="K5" s="227" t="s">
        <v>250</v>
      </c>
      <c r="L5" s="227"/>
      <c r="M5" s="227"/>
      <c r="N5" s="270" t="s">
        <v>251</v>
      </c>
      <c r="O5" s="1"/>
      <c r="P5" s="228"/>
      <c r="Q5" s="228"/>
      <c r="R5" s="231"/>
      <c r="S5" s="233"/>
      <c r="T5" s="228"/>
      <c r="U5" s="227"/>
      <c r="V5" s="227"/>
      <c r="W5" s="227"/>
      <c r="X5" s="227"/>
      <c r="Y5" s="227"/>
      <c r="Z5" s="227"/>
      <c r="AA5" s="227"/>
      <c r="AB5" s="227"/>
      <c r="AC5" s="227"/>
    </row>
    <row r="6" spans="2:29" ht="15.95" hidden="1" customHeight="1" thickBot="1">
      <c r="B6" s="1"/>
      <c r="C6" s="229"/>
      <c r="D6" s="229"/>
      <c r="E6" s="232"/>
      <c r="F6" s="234"/>
      <c r="G6" s="229"/>
      <c r="H6" s="2" t="s">
        <v>2</v>
      </c>
      <c r="I6" s="3" t="s">
        <v>247</v>
      </c>
      <c r="J6" s="3" t="s">
        <v>248</v>
      </c>
      <c r="K6" s="2" t="s">
        <v>2</v>
      </c>
      <c r="L6" s="3" t="s">
        <v>247</v>
      </c>
      <c r="M6" s="3" t="s">
        <v>248</v>
      </c>
      <c r="N6" s="271"/>
      <c r="O6" s="1"/>
      <c r="P6" s="229"/>
      <c r="Q6" s="229"/>
      <c r="R6" s="232"/>
      <c r="S6" s="234"/>
      <c r="T6" s="229"/>
      <c r="U6" s="2"/>
      <c r="V6" s="3"/>
      <c r="W6" s="3"/>
      <c r="X6" s="2"/>
      <c r="Y6" s="3"/>
      <c r="Z6" s="3"/>
      <c r="AA6" s="2"/>
      <c r="AB6" s="3"/>
      <c r="AC6" s="3"/>
    </row>
    <row r="7" spans="2:29" ht="17.100000000000001" hidden="1" customHeight="1" thickBot="1">
      <c r="B7" s="1"/>
      <c r="C7" s="230"/>
      <c r="D7" s="230"/>
      <c r="E7" s="28">
        <f t="shared" ref="E7:E13" si="0">H7+K7</f>
        <v>8757</v>
      </c>
      <c r="F7" s="29" t="s">
        <v>3</v>
      </c>
      <c r="G7" s="29"/>
      <c r="H7" s="28">
        <v>4688</v>
      </c>
      <c r="I7" s="29" t="s">
        <v>3</v>
      </c>
      <c r="J7" s="29"/>
      <c r="K7" s="28">
        <v>4069</v>
      </c>
      <c r="L7" s="29" t="s">
        <v>3</v>
      </c>
      <c r="M7" s="29"/>
      <c r="N7" s="271"/>
      <c r="O7" s="1"/>
      <c r="P7" s="230"/>
      <c r="Q7" s="230"/>
      <c r="R7" s="28"/>
      <c r="S7" s="29"/>
      <c r="T7" s="29"/>
      <c r="U7" s="28"/>
      <c r="V7" s="29"/>
      <c r="W7" s="29"/>
      <c r="X7" s="28"/>
      <c r="Y7" s="29"/>
      <c r="Z7" s="29"/>
      <c r="AA7" s="28"/>
      <c r="AB7" s="29"/>
      <c r="AC7" s="29"/>
    </row>
    <row r="8" spans="2:29" ht="15.95" hidden="1" customHeight="1" thickBot="1">
      <c r="B8" s="1"/>
      <c r="C8" s="235" t="s">
        <v>4</v>
      </c>
      <c r="D8" s="23" t="s">
        <v>5</v>
      </c>
      <c r="E8" s="4">
        <f t="shared" si="0"/>
        <v>485</v>
      </c>
      <c r="F8" s="30" t="e">
        <f>$E8/#REF! *100</f>
        <v>#REF!</v>
      </c>
      <c r="G8" s="30">
        <f>(J8*$H$7+M8*$K$7)/($E$7)</f>
        <v>7.31584218339614</v>
      </c>
      <c r="H8" s="4">
        <v>307</v>
      </c>
      <c r="I8" s="30" t="e">
        <f>$H8/#REF!*100</f>
        <v>#REF!</v>
      </c>
      <c r="J8" s="30">
        <v>8.0500000000000007</v>
      </c>
      <c r="K8" s="4">
        <v>178</v>
      </c>
      <c r="L8" s="30" t="e">
        <f>$K8/#REF!*100</f>
        <v>#REF!</v>
      </c>
      <c r="M8" s="30">
        <v>6.47</v>
      </c>
      <c r="N8" s="261">
        <v>0</v>
      </c>
      <c r="O8" s="1"/>
      <c r="P8" s="235"/>
      <c r="Q8" s="23"/>
      <c r="R8" s="4"/>
      <c r="S8" s="30"/>
      <c r="T8" s="30"/>
      <c r="U8" s="4"/>
      <c r="V8" s="30"/>
      <c r="W8" s="30"/>
      <c r="X8" s="4"/>
      <c r="Y8" s="30"/>
      <c r="Z8" s="30"/>
      <c r="AA8" s="4"/>
      <c r="AB8" s="30"/>
      <c r="AC8" s="30"/>
    </row>
    <row r="9" spans="2:29" ht="15.95" hidden="1" customHeight="1" thickBot="1">
      <c r="B9" s="1"/>
      <c r="C9" s="236"/>
      <c r="D9" s="24" t="s">
        <v>16</v>
      </c>
      <c r="E9" s="4">
        <f t="shared" si="0"/>
        <v>1825</v>
      </c>
      <c r="F9" s="30" t="e">
        <f>$E9/#REF! *100</f>
        <v>#REF!</v>
      </c>
      <c r="G9" s="30">
        <f t="shared" ref="G9:G30" si="1">(J9*$H$7+M9*$K$7)/($E$7)</f>
        <v>29.793867762932514</v>
      </c>
      <c r="H9" s="4">
        <v>1125</v>
      </c>
      <c r="I9" s="30" t="e">
        <f>$H9/#REF!*100</f>
        <v>#REF!</v>
      </c>
      <c r="J9" s="30">
        <v>33</v>
      </c>
      <c r="K9" s="4">
        <v>700</v>
      </c>
      <c r="L9" s="30" t="e">
        <f>$K9/#REF!*100</f>
        <v>#REF!</v>
      </c>
      <c r="M9" s="30">
        <v>26.1</v>
      </c>
      <c r="N9" s="261"/>
      <c r="O9" s="1"/>
      <c r="P9" s="236"/>
      <c r="Q9" s="24"/>
      <c r="R9" s="4"/>
      <c r="S9" s="30"/>
      <c r="T9" s="30"/>
      <c r="U9" s="4"/>
      <c r="V9" s="30"/>
      <c r="W9" s="30"/>
      <c r="X9" s="4"/>
      <c r="Y9" s="30"/>
      <c r="Z9" s="30"/>
      <c r="AA9" s="4"/>
      <c r="AB9" s="30"/>
      <c r="AC9" s="30"/>
    </row>
    <row r="10" spans="2:29" ht="15.95" hidden="1" customHeight="1" thickBot="1">
      <c r="B10" s="1"/>
      <c r="C10" s="236"/>
      <c r="D10" s="24" t="s">
        <v>17</v>
      </c>
      <c r="E10" s="4">
        <f t="shared" si="0"/>
        <v>2900</v>
      </c>
      <c r="F10" s="30" t="e">
        <f>$E10/#REF! *100</f>
        <v>#REF!</v>
      </c>
      <c r="G10" s="30">
        <f t="shared" si="1"/>
        <v>35.688877469453004</v>
      </c>
      <c r="H10" s="4">
        <v>1650</v>
      </c>
      <c r="I10" s="30" t="e">
        <f>$H10/#REF!*100</f>
        <v>#REF!</v>
      </c>
      <c r="J10" s="30">
        <v>36.199999999999996</v>
      </c>
      <c r="K10" s="4">
        <v>1250</v>
      </c>
      <c r="L10" s="30" t="e">
        <f>$K10/#REF!*100</f>
        <v>#REF!</v>
      </c>
      <c r="M10" s="30">
        <v>35.099999999999994</v>
      </c>
      <c r="N10" s="261"/>
      <c r="O10" s="1"/>
      <c r="P10" s="236"/>
      <c r="Q10" s="24"/>
      <c r="R10" s="4"/>
      <c r="S10" s="30"/>
      <c r="T10" s="30"/>
      <c r="U10" s="4"/>
      <c r="V10" s="30"/>
      <c r="W10" s="30"/>
      <c r="X10" s="4"/>
      <c r="Y10" s="30"/>
      <c r="Z10" s="30"/>
      <c r="AA10" s="4"/>
      <c r="AB10" s="30"/>
      <c r="AC10" s="30"/>
    </row>
    <row r="11" spans="2:29" ht="15.95" hidden="1" customHeight="1" thickBot="1">
      <c r="B11" s="1"/>
      <c r="C11" s="236"/>
      <c r="D11" s="24" t="s">
        <v>21</v>
      </c>
      <c r="E11" s="4">
        <f t="shared" si="0"/>
        <v>3547</v>
      </c>
      <c r="F11" s="30" t="e">
        <f>$E11/#REF! *100</f>
        <v>#REF!</v>
      </c>
      <c r="G11" s="30">
        <f t="shared" si="1"/>
        <v>27.05363709032774</v>
      </c>
      <c r="H11" s="4">
        <v>1606</v>
      </c>
      <c r="I11" s="30" t="e">
        <f>$H11/#REF!*100</f>
        <v>#REF!</v>
      </c>
      <c r="J11" s="30">
        <v>22.5</v>
      </c>
      <c r="K11" s="4">
        <v>1941</v>
      </c>
      <c r="L11" s="30" t="e">
        <f>$K11/#REF!*100</f>
        <v>#REF!</v>
      </c>
      <c r="M11" s="30">
        <v>32.300000000000004</v>
      </c>
      <c r="N11" s="261"/>
      <c r="O11" s="1"/>
      <c r="P11" s="236"/>
      <c r="Q11" s="24"/>
      <c r="R11" s="4"/>
      <c r="S11" s="30"/>
      <c r="T11" s="30"/>
      <c r="U11" s="4"/>
      <c r="V11" s="30"/>
      <c r="W11" s="30"/>
      <c r="X11" s="4"/>
      <c r="Y11" s="30"/>
      <c r="Z11" s="30"/>
      <c r="AA11" s="4"/>
      <c r="AB11" s="30"/>
      <c r="AC11" s="30"/>
    </row>
    <row r="12" spans="2:29" ht="15.95" hidden="1" customHeight="1" thickBot="1">
      <c r="B12" s="1"/>
      <c r="C12" s="236" t="s">
        <v>6</v>
      </c>
      <c r="D12" s="24" t="s">
        <v>14</v>
      </c>
      <c r="E12" s="4">
        <f t="shared" si="0"/>
        <v>3921</v>
      </c>
      <c r="F12" s="30" t="e">
        <f>$E12/#REF! *100</f>
        <v>#REF!</v>
      </c>
      <c r="G12" s="30">
        <f t="shared" si="1"/>
        <v>49.718191161356629</v>
      </c>
      <c r="H12" s="5">
        <v>2063</v>
      </c>
      <c r="I12" s="30" t="e">
        <f>$H12/#REF!*100</f>
        <v>#REF!</v>
      </c>
      <c r="J12" s="30">
        <v>49.3</v>
      </c>
      <c r="K12" s="5">
        <v>1858</v>
      </c>
      <c r="L12" s="30" t="e">
        <f>$K12/#REF!*100</f>
        <v>#REF!</v>
      </c>
      <c r="M12" s="30">
        <v>50.2</v>
      </c>
      <c r="N12" s="261">
        <v>0.26</v>
      </c>
      <c r="O12" s="1"/>
      <c r="P12" s="236"/>
      <c r="Q12" s="24"/>
      <c r="R12" s="4"/>
      <c r="S12" s="30"/>
      <c r="T12" s="30"/>
      <c r="U12" s="5"/>
      <c r="V12" s="30"/>
      <c r="W12" s="30"/>
      <c r="X12" s="5"/>
      <c r="Y12" s="30"/>
      <c r="Z12" s="30"/>
      <c r="AA12" s="5"/>
      <c r="AB12" s="30"/>
      <c r="AC12" s="30"/>
    </row>
    <row r="13" spans="2:29" ht="15.95" hidden="1" customHeight="1" thickBot="1">
      <c r="B13" s="1"/>
      <c r="C13" s="236"/>
      <c r="D13" s="24" t="s">
        <v>15</v>
      </c>
      <c r="E13" s="4">
        <f t="shared" si="0"/>
        <v>4836</v>
      </c>
      <c r="F13" s="30" t="e">
        <f>$E13/#REF! *100</f>
        <v>#REF!</v>
      </c>
      <c r="G13" s="30">
        <f t="shared" si="1"/>
        <v>50.281808838643371</v>
      </c>
      <c r="H13" s="5">
        <v>2625</v>
      </c>
      <c r="I13" s="30" t="e">
        <f>$H13/#REF!*100</f>
        <v>#REF!</v>
      </c>
      <c r="J13" s="30">
        <v>50.7</v>
      </c>
      <c r="K13" s="5">
        <v>2211</v>
      </c>
      <c r="L13" s="30" t="e">
        <f>$K13/#REF!*100</f>
        <v>#REF!</v>
      </c>
      <c r="M13" s="30">
        <v>49.8</v>
      </c>
      <c r="N13" s="261"/>
      <c r="O13" s="1"/>
      <c r="P13" s="236"/>
      <c r="Q13" s="24"/>
      <c r="R13" s="4"/>
      <c r="S13" s="30"/>
      <c r="T13" s="30"/>
      <c r="U13" s="5"/>
      <c r="V13" s="30"/>
      <c r="W13" s="30"/>
      <c r="X13" s="5"/>
      <c r="Y13" s="30"/>
      <c r="Z13" s="30"/>
      <c r="AA13" s="5"/>
      <c r="AB13" s="30"/>
      <c r="AC13" s="30"/>
    </row>
    <row r="14" spans="2:29" ht="15.95" hidden="1" customHeight="1" thickBot="1">
      <c r="B14" s="1"/>
      <c r="C14" s="247" t="s">
        <v>80</v>
      </c>
      <c r="D14" s="22" t="s">
        <v>77</v>
      </c>
      <c r="E14" s="4">
        <f t="shared" ref="E14:E20" si="2">H14+K14</f>
        <v>461</v>
      </c>
      <c r="F14" s="30" t="e">
        <f>$E14/#REF! *100</f>
        <v>#REF!</v>
      </c>
      <c r="G14" s="30">
        <f t="shared" si="1"/>
        <v>5.6799063606257851</v>
      </c>
      <c r="H14" s="6">
        <v>232</v>
      </c>
      <c r="I14" s="30" t="e">
        <f>$H14/#REF!*100</f>
        <v>#REF!</v>
      </c>
      <c r="J14" s="30">
        <v>5.35</v>
      </c>
      <c r="K14" s="6">
        <v>229</v>
      </c>
      <c r="L14" s="30" t="e">
        <f>$K14/#REF!*100</f>
        <v>#REF!</v>
      </c>
      <c r="M14" s="30">
        <v>6.0600000000000005</v>
      </c>
      <c r="N14" s="262">
        <v>0.19</v>
      </c>
      <c r="O14" s="1"/>
      <c r="P14" s="247"/>
      <c r="Q14" s="22"/>
      <c r="R14" s="4"/>
      <c r="S14" s="30"/>
      <c r="T14" s="30"/>
      <c r="U14" s="6"/>
      <c r="V14" s="30"/>
      <c r="W14" s="30"/>
      <c r="X14" s="6"/>
      <c r="Y14" s="30"/>
      <c r="Z14" s="30"/>
      <c r="AA14" s="6"/>
      <c r="AB14" s="30"/>
      <c r="AC14" s="30"/>
    </row>
    <row r="15" spans="2:29" ht="15.95" hidden="1" customHeight="1" thickBot="1">
      <c r="B15" s="1"/>
      <c r="C15" s="247"/>
      <c r="D15" s="22" t="s">
        <v>78</v>
      </c>
      <c r="E15" s="4">
        <f t="shared" si="2"/>
        <v>5501</v>
      </c>
      <c r="F15" s="30" t="e">
        <f>$E15/#REF! *100</f>
        <v>#REF!</v>
      </c>
      <c r="G15" s="30">
        <f t="shared" si="1"/>
        <v>61.763617677286739</v>
      </c>
      <c r="H15" s="6">
        <v>2970</v>
      </c>
      <c r="I15" s="30" t="e">
        <f>$H15/#REF!*100</f>
        <v>#REF!</v>
      </c>
      <c r="J15" s="30">
        <v>62.6</v>
      </c>
      <c r="K15" s="6">
        <v>2531</v>
      </c>
      <c r="L15" s="30" t="e">
        <f>$K15/#REF!*100</f>
        <v>#REF!</v>
      </c>
      <c r="M15" s="30">
        <v>60.8</v>
      </c>
      <c r="N15" s="262"/>
      <c r="O15" s="1"/>
      <c r="P15" s="247"/>
      <c r="Q15" s="22"/>
      <c r="R15" s="4"/>
      <c r="S15" s="30"/>
      <c r="T15" s="30"/>
      <c r="U15" s="6"/>
      <c r="V15" s="30"/>
      <c r="W15" s="30"/>
      <c r="X15" s="6"/>
      <c r="Y15" s="30"/>
      <c r="Z15" s="30"/>
      <c r="AA15" s="6"/>
      <c r="AB15" s="30"/>
      <c r="AC15" s="30"/>
    </row>
    <row r="16" spans="2:29" ht="15.95" hidden="1" customHeight="1" thickBot="1">
      <c r="B16" s="1"/>
      <c r="C16" s="247"/>
      <c r="D16" s="22" t="s">
        <v>79</v>
      </c>
      <c r="E16" s="4">
        <f t="shared" si="2"/>
        <v>2666</v>
      </c>
      <c r="F16" s="30" t="e">
        <f>$E16/#REF! *100</f>
        <v>#REF!</v>
      </c>
      <c r="G16" s="30">
        <f t="shared" si="1"/>
        <v>30.836382322713259</v>
      </c>
      <c r="H16" s="6">
        <v>1415</v>
      </c>
      <c r="I16" s="30" t="e">
        <f>$H16/#REF!*100</f>
        <v>#REF!</v>
      </c>
      <c r="J16" s="30">
        <v>30</v>
      </c>
      <c r="K16" s="6">
        <v>1251</v>
      </c>
      <c r="L16" s="30" t="e">
        <f>$K16/#REF!*100</f>
        <v>#REF!</v>
      </c>
      <c r="M16" s="30">
        <v>31.8</v>
      </c>
      <c r="N16" s="262"/>
      <c r="O16" s="1"/>
      <c r="P16" s="247"/>
      <c r="Q16" s="22"/>
      <c r="R16" s="4"/>
      <c r="S16" s="30"/>
      <c r="T16" s="30"/>
      <c r="U16" s="6"/>
      <c r="V16" s="30"/>
      <c r="W16" s="30"/>
      <c r="X16" s="6"/>
      <c r="Y16" s="30"/>
      <c r="Z16" s="30"/>
      <c r="AA16" s="6"/>
      <c r="AB16" s="30"/>
      <c r="AC16" s="30"/>
    </row>
    <row r="17" spans="2:29" ht="15.95" hidden="1" customHeight="1" thickBot="1">
      <c r="B17" s="1"/>
      <c r="C17" s="236" t="s">
        <v>96</v>
      </c>
      <c r="D17" s="24" t="s">
        <v>93</v>
      </c>
      <c r="E17" s="4">
        <f t="shared" si="2"/>
        <v>5117</v>
      </c>
      <c r="F17" s="30" t="e">
        <f>$E17/#REF! *100</f>
        <v>#REF!</v>
      </c>
      <c r="G17" s="30">
        <f t="shared" si="1"/>
        <v>66.789813863195164</v>
      </c>
      <c r="H17" s="5">
        <v>2948</v>
      </c>
      <c r="I17" s="30" t="e">
        <f>$H17/#REF!*100</f>
        <v>#REF!</v>
      </c>
      <c r="J17" s="30">
        <v>70.599999999999994</v>
      </c>
      <c r="K17" s="5">
        <v>2169</v>
      </c>
      <c r="L17" s="30" t="e">
        <f>$K17/#REF!*100</f>
        <v>#REF!</v>
      </c>
      <c r="M17" s="30">
        <v>62.4</v>
      </c>
      <c r="N17" s="261">
        <v>0</v>
      </c>
      <c r="O17" s="1"/>
      <c r="P17" s="236"/>
      <c r="Q17" s="24"/>
      <c r="R17" s="4"/>
      <c r="S17" s="30"/>
      <c r="T17" s="30"/>
      <c r="U17" s="5"/>
      <c r="V17" s="30"/>
      <c r="W17" s="30"/>
      <c r="X17" s="5"/>
      <c r="Y17" s="30"/>
      <c r="Z17" s="30"/>
      <c r="AA17" s="5"/>
      <c r="AB17" s="30"/>
      <c r="AC17" s="30"/>
    </row>
    <row r="18" spans="2:29" ht="15.95" hidden="1" customHeight="1" thickBot="1">
      <c r="B18" s="1"/>
      <c r="C18" s="236"/>
      <c r="D18" s="25">
        <v>1</v>
      </c>
      <c r="E18" s="4">
        <f t="shared" si="2"/>
        <v>1728</v>
      </c>
      <c r="F18" s="30" t="e">
        <f>$E18/#REF! *100</f>
        <v>#REF!</v>
      </c>
      <c r="G18" s="30">
        <f t="shared" si="1"/>
        <v>16.433367591640973</v>
      </c>
      <c r="H18" s="5">
        <v>847</v>
      </c>
      <c r="I18" s="30" t="e">
        <f>$H18/#REF!*100</f>
        <v>#REF!</v>
      </c>
      <c r="J18" s="30">
        <v>14.899999999999999</v>
      </c>
      <c r="K18" s="5">
        <v>881</v>
      </c>
      <c r="L18" s="30" t="e">
        <f>$K18/#REF!*100</f>
        <v>#REF!</v>
      </c>
      <c r="M18" s="30">
        <v>18.2</v>
      </c>
      <c r="N18" s="261"/>
      <c r="O18" s="1"/>
      <c r="P18" s="236"/>
      <c r="Q18" s="25"/>
      <c r="R18" s="4"/>
      <c r="S18" s="30"/>
      <c r="T18" s="30"/>
      <c r="U18" s="5"/>
      <c r="V18" s="30"/>
      <c r="W18" s="30"/>
      <c r="X18" s="5"/>
      <c r="Y18" s="30"/>
      <c r="Z18" s="30"/>
      <c r="AA18" s="5"/>
      <c r="AB18" s="30"/>
      <c r="AC18" s="30"/>
    </row>
    <row r="19" spans="2:29" ht="15.95" hidden="1" customHeight="1" thickBot="1">
      <c r="B19" s="1"/>
      <c r="C19" s="236"/>
      <c r="D19" s="25">
        <v>2</v>
      </c>
      <c r="E19" s="4">
        <f t="shared" si="2"/>
        <v>1136</v>
      </c>
      <c r="F19" s="30" t="e">
        <f>$E19/#REF! *100</f>
        <v>#REF!</v>
      </c>
      <c r="G19" s="30">
        <f t="shared" si="1"/>
        <v>10.234874957177116</v>
      </c>
      <c r="H19" s="5">
        <v>553</v>
      </c>
      <c r="I19" s="30" t="e">
        <f>$H19/#REF!*100</f>
        <v>#REF!</v>
      </c>
      <c r="J19" s="30">
        <v>9.0499999999999989</v>
      </c>
      <c r="K19" s="5">
        <v>583</v>
      </c>
      <c r="L19" s="30" t="e">
        <f>$K19/#REF!*100</f>
        <v>#REF!</v>
      </c>
      <c r="M19" s="30">
        <v>11.600000000000001</v>
      </c>
      <c r="N19" s="261"/>
      <c r="O19" s="1"/>
      <c r="P19" s="236"/>
      <c r="Q19" s="25"/>
      <c r="R19" s="4"/>
      <c r="S19" s="30"/>
      <c r="T19" s="30"/>
      <c r="U19" s="5"/>
      <c r="V19" s="30"/>
      <c r="W19" s="30"/>
      <c r="X19" s="5"/>
      <c r="Y19" s="30"/>
      <c r="Z19" s="30"/>
      <c r="AA19" s="5"/>
      <c r="AB19" s="30"/>
      <c r="AC19" s="30"/>
    </row>
    <row r="20" spans="2:29" ht="15.95" hidden="1" customHeight="1" thickBot="1">
      <c r="B20" s="1"/>
      <c r="C20" s="236"/>
      <c r="D20" s="25" t="s">
        <v>94</v>
      </c>
      <c r="E20" s="4">
        <f t="shared" si="2"/>
        <v>776</v>
      </c>
      <c r="F20" s="30" t="e">
        <f>$E20/#REF! *100</f>
        <v>#REF!</v>
      </c>
      <c r="G20" s="30">
        <f t="shared" si="1"/>
        <v>6.5151764302843445</v>
      </c>
      <c r="H20" s="5">
        <v>340</v>
      </c>
      <c r="I20" s="30" t="e">
        <f>$H20/#REF!*100</f>
        <v>#REF!</v>
      </c>
      <c r="J20" s="30">
        <v>5.4</v>
      </c>
      <c r="K20" s="5">
        <v>436</v>
      </c>
      <c r="L20" s="30" t="e">
        <f>$K20/#REF!*100</f>
        <v>#REF!</v>
      </c>
      <c r="M20" s="30">
        <v>7.8</v>
      </c>
      <c r="N20" s="261"/>
      <c r="O20" s="1"/>
      <c r="P20" s="236"/>
      <c r="Q20" s="25"/>
      <c r="R20" s="4"/>
      <c r="S20" s="30"/>
      <c r="T20" s="30"/>
      <c r="U20" s="5"/>
      <c r="V20" s="30"/>
      <c r="W20" s="30"/>
      <c r="X20" s="5"/>
      <c r="Y20" s="30"/>
      <c r="Z20" s="30"/>
      <c r="AA20" s="5"/>
      <c r="AB20" s="30"/>
      <c r="AC20" s="30"/>
    </row>
    <row r="21" spans="2:29" ht="15.95" hidden="1" customHeight="1" thickBot="1">
      <c r="B21" s="1"/>
      <c r="C21" s="236" t="s">
        <v>97</v>
      </c>
      <c r="D21" s="26" t="s">
        <v>7</v>
      </c>
      <c r="E21" s="4">
        <f>H21+K21</f>
        <v>1066</v>
      </c>
      <c r="F21" s="30" t="e">
        <f>$E21/#REF! *100</f>
        <v>#REF!</v>
      </c>
      <c r="G21" s="30">
        <f t="shared" si="1"/>
        <v>11.26465684595181</v>
      </c>
      <c r="H21" s="6">
        <v>572</v>
      </c>
      <c r="I21" s="30" t="e">
        <f>$H21/#REF!*100</f>
        <v>#REF!</v>
      </c>
      <c r="J21" s="30">
        <v>10.8</v>
      </c>
      <c r="K21" s="6">
        <v>494</v>
      </c>
      <c r="L21" s="30" t="e">
        <f>$K21/#REF!*100</f>
        <v>#REF!</v>
      </c>
      <c r="M21" s="30">
        <v>11.799999999999999</v>
      </c>
      <c r="N21" s="261">
        <v>0</v>
      </c>
      <c r="O21" s="1"/>
      <c r="P21" s="236"/>
      <c r="Q21" s="26"/>
      <c r="R21" s="4"/>
      <c r="S21" s="30"/>
      <c r="T21" s="30"/>
      <c r="U21" s="6"/>
      <c r="V21" s="30"/>
      <c r="W21" s="30"/>
      <c r="X21" s="6"/>
      <c r="Y21" s="30"/>
      <c r="Z21" s="30"/>
      <c r="AA21" s="6"/>
      <c r="AB21" s="30"/>
      <c r="AC21" s="30"/>
    </row>
    <row r="22" spans="2:29" ht="15.95" hidden="1" customHeight="1" thickBot="1">
      <c r="B22" s="1"/>
      <c r="C22" s="236"/>
      <c r="D22" s="26" t="s">
        <v>8</v>
      </c>
      <c r="E22" s="4">
        <f>H22+K22</f>
        <v>4285</v>
      </c>
      <c r="F22" s="30" t="e">
        <f>$E22/#REF! *100</f>
        <v>#REF!</v>
      </c>
      <c r="G22" s="30">
        <f t="shared" si="1"/>
        <v>46.067260477332425</v>
      </c>
      <c r="H22" s="6">
        <v>3002</v>
      </c>
      <c r="I22" s="30" t="e">
        <f>$H22/#REF!*100</f>
        <v>#REF!</v>
      </c>
      <c r="J22" s="30">
        <v>64.7</v>
      </c>
      <c r="K22" s="6">
        <v>1283</v>
      </c>
      <c r="L22" s="30" t="e">
        <f>$K22/#REF!*100</f>
        <v>#REF!</v>
      </c>
      <c r="M22" s="30">
        <v>24.6</v>
      </c>
      <c r="N22" s="261"/>
      <c r="O22" s="1"/>
      <c r="P22" s="236"/>
      <c r="Q22" s="26"/>
      <c r="R22" s="4"/>
      <c r="S22" s="30"/>
      <c r="T22" s="30"/>
      <c r="U22" s="6"/>
      <c r="V22" s="30"/>
      <c r="W22" s="30"/>
      <c r="X22" s="6"/>
      <c r="Y22" s="30"/>
      <c r="Z22" s="30"/>
      <c r="AA22" s="6"/>
      <c r="AB22" s="30"/>
      <c r="AC22" s="30"/>
    </row>
    <row r="23" spans="2:29" ht="15.95" hidden="1" customHeight="1" thickBot="1">
      <c r="B23" s="1"/>
      <c r="C23" s="236"/>
      <c r="D23" s="24" t="s">
        <v>9</v>
      </c>
      <c r="E23" s="4">
        <f>H23+K23</f>
        <v>3380</v>
      </c>
      <c r="F23" s="30" t="e">
        <f>$E23/#REF! *100</f>
        <v>#REF!</v>
      </c>
      <c r="G23" s="30">
        <f t="shared" si="1"/>
        <v>42.428685622930224</v>
      </c>
      <c r="H23" s="6">
        <v>1108</v>
      </c>
      <c r="I23" s="30" t="e">
        <f>$H23/#REF!*100</f>
        <v>#REF!</v>
      </c>
      <c r="J23" s="30">
        <v>24.4</v>
      </c>
      <c r="K23" s="6">
        <v>2272</v>
      </c>
      <c r="L23" s="30" t="e">
        <f>$K23/#REF!*100</f>
        <v>#REF!</v>
      </c>
      <c r="M23" s="30">
        <v>63.2</v>
      </c>
      <c r="N23" s="261"/>
      <c r="O23" s="1"/>
      <c r="P23" s="236"/>
      <c r="Q23" s="24"/>
      <c r="R23" s="4"/>
      <c r="S23" s="30"/>
      <c r="T23" s="30"/>
      <c r="U23" s="6"/>
      <c r="V23" s="30"/>
      <c r="W23" s="30"/>
      <c r="X23" s="6"/>
      <c r="Y23" s="30"/>
      <c r="Z23" s="30"/>
      <c r="AA23" s="6"/>
      <c r="AB23" s="30"/>
      <c r="AC23" s="30"/>
    </row>
    <row r="24" spans="2:29" ht="15.95" hidden="1" customHeight="1" thickBot="1">
      <c r="B24" s="1"/>
      <c r="C24" s="236"/>
      <c r="D24" s="24" t="s">
        <v>10</v>
      </c>
      <c r="E24" s="4">
        <f>H24+K24</f>
        <v>26</v>
      </c>
      <c r="F24" s="30" t="e">
        <f>$E24/#REF! *100</f>
        <v>#REF!</v>
      </c>
      <c r="G24" s="30">
        <f t="shared" si="1"/>
        <v>0.28586273838072401</v>
      </c>
      <c r="H24" s="6">
        <v>6</v>
      </c>
      <c r="I24" s="30" t="e">
        <f>$H24/#REF!*100</f>
        <v>#REF!</v>
      </c>
      <c r="J24" s="30">
        <v>0.1</v>
      </c>
      <c r="K24" s="6">
        <v>20</v>
      </c>
      <c r="L24" s="30" t="e">
        <f>$K24/#REF!*100</f>
        <v>#REF!</v>
      </c>
      <c r="M24" s="30">
        <v>0.5</v>
      </c>
      <c r="N24" s="261"/>
      <c r="O24" s="1"/>
      <c r="P24" s="236"/>
      <c r="Q24" s="24"/>
      <c r="R24" s="4"/>
      <c r="S24" s="30"/>
      <c r="T24" s="30"/>
      <c r="U24" s="6"/>
      <c r="V24" s="30"/>
      <c r="W24" s="30"/>
      <c r="X24" s="6"/>
      <c r="Y24" s="30"/>
      <c r="Z24" s="30"/>
      <c r="AA24" s="6"/>
      <c r="AB24" s="30"/>
      <c r="AC24" s="30"/>
    </row>
    <row r="25" spans="2:29" ht="15.95" hidden="1" customHeight="1" thickBot="1">
      <c r="B25" s="1"/>
      <c r="C25" s="236" t="s">
        <v>11</v>
      </c>
      <c r="D25" s="24" t="s">
        <v>73</v>
      </c>
      <c r="E25" s="4">
        <v>1559</v>
      </c>
      <c r="F25" s="30" t="e">
        <f>$E25/#REF! *100</f>
        <v>#REF!</v>
      </c>
      <c r="G25" s="30">
        <f t="shared" si="1"/>
        <v>22.37869133264817</v>
      </c>
      <c r="H25" s="6">
        <v>1015</v>
      </c>
      <c r="I25" s="30" t="e">
        <f>$H25/#REF!*100</f>
        <v>#REF!</v>
      </c>
      <c r="J25" s="30">
        <v>26.700000000000003</v>
      </c>
      <c r="K25" s="6">
        <v>544</v>
      </c>
      <c r="L25" s="30" t="e">
        <f>$K25/#REF!*100</f>
        <v>#REF!</v>
      </c>
      <c r="M25" s="30">
        <v>17.399999999999999</v>
      </c>
      <c r="N25" s="261">
        <v>0</v>
      </c>
      <c r="O25" s="1"/>
      <c r="P25" s="236"/>
      <c r="Q25" s="24"/>
      <c r="R25" s="4"/>
      <c r="S25" s="30"/>
      <c r="T25" s="30"/>
      <c r="U25" s="6"/>
      <c r="V25" s="30"/>
      <c r="W25" s="30"/>
      <c r="X25" s="6"/>
      <c r="Y25" s="30"/>
      <c r="Z25" s="30"/>
      <c r="AA25" s="6"/>
      <c r="AB25" s="30"/>
      <c r="AC25" s="30"/>
    </row>
    <row r="26" spans="2:29" ht="15.95" hidden="1" customHeight="1" thickBot="1">
      <c r="B26" s="1"/>
      <c r="C26" s="236"/>
      <c r="D26" s="24" t="s">
        <v>12</v>
      </c>
      <c r="E26" s="4">
        <f>H26+K26</f>
        <v>4912</v>
      </c>
      <c r="F26" s="30" t="e">
        <f>$E26/#REF! *100</f>
        <v>#REF!</v>
      </c>
      <c r="G26" s="30">
        <f t="shared" si="1"/>
        <v>59.584823569715645</v>
      </c>
      <c r="H26" s="6">
        <v>2758</v>
      </c>
      <c r="I26" s="30" t="e">
        <f>$H26/#REF!*100</f>
        <v>#REF!</v>
      </c>
      <c r="J26" s="30">
        <v>60.699999999999996</v>
      </c>
      <c r="K26" s="6">
        <v>2154</v>
      </c>
      <c r="L26" s="30" t="e">
        <f>$K26/#REF!*100</f>
        <v>#REF!</v>
      </c>
      <c r="M26" s="30">
        <v>58.3</v>
      </c>
      <c r="N26" s="261"/>
      <c r="O26" s="1"/>
      <c r="P26" s="236"/>
      <c r="Q26" s="24"/>
      <c r="R26" s="4"/>
      <c r="S26" s="30"/>
      <c r="T26" s="30"/>
      <c r="U26" s="6"/>
      <c r="V26" s="30"/>
      <c r="W26" s="30"/>
      <c r="X26" s="6"/>
      <c r="Y26" s="30"/>
      <c r="Z26" s="30"/>
      <c r="AA26" s="6"/>
      <c r="AB26" s="30"/>
      <c r="AC26" s="30"/>
    </row>
    <row r="27" spans="2:29" ht="15.95" hidden="1" customHeight="1" thickBot="1">
      <c r="B27" s="1"/>
      <c r="C27" s="236"/>
      <c r="D27" s="24" t="s">
        <v>13</v>
      </c>
      <c r="E27" s="4">
        <f>H27+K27</f>
        <v>2286</v>
      </c>
      <c r="F27" s="30" t="e">
        <f>$E27/#REF! *100</f>
        <v>#REF!</v>
      </c>
      <c r="G27" s="30">
        <f t="shared" si="1"/>
        <v>18.036485097636177</v>
      </c>
      <c r="H27" s="6">
        <v>915</v>
      </c>
      <c r="I27" s="30" t="e">
        <f>$H27/#REF!*100</f>
        <v>#REF!</v>
      </c>
      <c r="J27" s="30">
        <v>12.6</v>
      </c>
      <c r="K27" s="6">
        <v>1371</v>
      </c>
      <c r="L27" s="30" t="e">
        <f>$K27/#REF!*100</f>
        <v>#REF!</v>
      </c>
      <c r="M27" s="30">
        <v>24.3</v>
      </c>
      <c r="N27" s="261"/>
      <c r="O27" s="1"/>
      <c r="P27" s="236"/>
      <c r="Q27" s="24"/>
      <c r="R27" s="4"/>
      <c r="S27" s="30"/>
      <c r="T27" s="30"/>
      <c r="U27" s="6"/>
      <c r="V27" s="30"/>
      <c r="W27" s="30"/>
      <c r="X27" s="6"/>
      <c r="Y27" s="30"/>
      <c r="Z27" s="30"/>
      <c r="AA27" s="6"/>
      <c r="AB27" s="30"/>
      <c r="AC27" s="30"/>
    </row>
    <row r="28" spans="2:29" ht="15.95" hidden="1" customHeight="1" thickBot="1">
      <c r="B28" s="1"/>
      <c r="C28" s="245" t="s">
        <v>76</v>
      </c>
      <c r="D28" s="24" t="s">
        <v>74</v>
      </c>
      <c r="E28" s="4">
        <f>H28+K28</f>
        <v>883</v>
      </c>
      <c r="F28" s="30" t="e">
        <f>$E28/#REF! *100</f>
        <v>#REF!</v>
      </c>
      <c r="G28" s="30">
        <f t="shared" si="1"/>
        <v>10.828480073084389</v>
      </c>
      <c r="H28" s="6">
        <v>62</v>
      </c>
      <c r="I28" s="30" t="e">
        <f>$H28/#REF!*100</f>
        <v>#REF!</v>
      </c>
      <c r="J28" s="30">
        <v>2</v>
      </c>
      <c r="K28" s="6">
        <v>821</v>
      </c>
      <c r="L28" s="30" t="e">
        <f>$K28/#REF!*100</f>
        <v>#REF!</v>
      </c>
      <c r="M28" s="30">
        <v>21</v>
      </c>
      <c r="N28" s="261">
        <v>0</v>
      </c>
      <c r="O28" s="1"/>
      <c r="P28" s="245"/>
      <c r="Q28" s="24"/>
      <c r="R28" s="4"/>
      <c r="S28" s="30"/>
      <c r="T28" s="30"/>
      <c r="U28" s="6"/>
      <c r="V28" s="30"/>
      <c r="W28" s="30"/>
      <c r="X28" s="6"/>
      <c r="Y28" s="30"/>
      <c r="Z28" s="30"/>
      <c r="AA28" s="6"/>
      <c r="AB28" s="30"/>
      <c r="AC28" s="30"/>
    </row>
    <row r="29" spans="2:29" ht="15.95" hidden="1" customHeight="1" thickBot="1">
      <c r="B29" s="1"/>
      <c r="C29" s="245"/>
      <c r="D29" s="24" t="s">
        <v>75</v>
      </c>
      <c r="E29" s="4">
        <f>H29+K29</f>
        <v>940</v>
      </c>
      <c r="F29" s="30" t="e">
        <f>$E29/#REF! *100</f>
        <v>#REF!</v>
      </c>
      <c r="G29" s="30">
        <f t="shared" si="1"/>
        <v>12.070686308096381</v>
      </c>
      <c r="H29" s="6">
        <v>518</v>
      </c>
      <c r="I29" s="30" t="e">
        <f>$H29/#REF!*100</f>
        <v>#REF!</v>
      </c>
      <c r="J29" s="30">
        <v>13</v>
      </c>
      <c r="K29" s="6">
        <v>422</v>
      </c>
      <c r="L29" s="30" t="e">
        <f>$K29/#REF!*100</f>
        <v>#REF!</v>
      </c>
      <c r="M29" s="30">
        <v>11</v>
      </c>
      <c r="N29" s="261"/>
      <c r="O29" s="1"/>
      <c r="P29" s="245"/>
      <c r="Q29" s="24"/>
      <c r="R29" s="4"/>
      <c r="S29" s="30"/>
      <c r="T29" s="30"/>
      <c r="U29" s="6"/>
      <c r="V29" s="30"/>
      <c r="W29" s="30"/>
      <c r="X29" s="6"/>
      <c r="Y29" s="30"/>
      <c r="Z29" s="30"/>
      <c r="AA29" s="6"/>
      <c r="AB29" s="30"/>
      <c r="AC29" s="30"/>
    </row>
    <row r="30" spans="2:29" ht="17.100000000000001" hidden="1" customHeight="1" thickBot="1">
      <c r="B30" s="1"/>
      <c r="C30" s="246"/>
      <c r="D30" s="27" t="s">
        <v>22</v>
      </c>
      <c r="E30" s="4">
        <f>H30+K30</f>
        <v>6743</v>
      </c>
      <c r="F30" s="30" t="e">
        <f>$E30/#REF! *100</f>
        <v>#REF!</v>
      </c>
      <c r="G30" s="30">
        <f t="shared" si="1"/>
        <v>74.636176772867415</v>
      </c>
      <c r="H30" s="6">
        <v>4015</v>
      </c>
      <c r="I30" s="30" t="e">
        <f>$H30/#REF!*100</f>
        <v>#REF!</v>
      </c>
      <c r="J30" s="30">
        <v>83</v>
      </c>
      <c r="K30" s="6">
        <v>2728</v>
      </c>
      <c r="L30" s="30" t="e">
        <f>$K30/#REF!*100</f>
        <v>#REF!</v>
      </c>
      <c r="M30" s="30">
        <v>65</v>
      </c>
      <c r="N30" s="261"/>
      <c r="O30" s="1"/>
      <c r="P30" s="246"/>
      <c r="Q30" s="27"/>
      <c r="R30" s="4"/>
      <c r="S30" s="30"/>
      <c r="T30" s="30"/>
      <c r="U30" s="6"/>
      <c r="V30" s="30"/>
      <c r="W30" s="30"/>
      <c r="X30" s="6"/>
      <c r="Y30" s="30"/>
      <c r="Z30" s="30"/>
      <c r="AA30" s="6"/>
      <c r="AB30" s="30"/>
      <c r="AC30" s="30"/>
    </row>
    <row r="31" spans="2:29" ht="15.95" hidden="1" customHeight="1" thickBo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2:29" ht="16.5" thickBo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2:29" ht="15.95" customHeight="1">
      <c r="B33" s="1"/>
      <c r="C33" s="228" t="s">
        <v>0</v>
      </c>
      <c r="D33" s="228"/>
      <c r="E33" s="231" t="s">
        <v>1</v>
      </c>
      <c r="F33" s="233" t="s">
        <v>18</v>
      </c>
      <c r="G33" s="228" t="s">
        <v>95</v>
      </c>
      <c r="H33" s="237" t="s">
        <v>19</v>
      </c>
      <c r="I33" s="237"/>
      <c r="J33" s="237"/>
      <c r="K33" s="237" t="s">
        <v>20</v>
      </c>
      <c r="L33" s="237"/>
      <c r="M33" s="237"/>
      <c r="N33" s="34" t="s">
        <v>164</v>
      </c>
      <c r="O33" s="1"/>
      <c r="P33" s="276"/>
      <c r="Q33" s="276"/>
      <c r="R33" s="277"/>
      <c r="S33" s="278"/>
      <c r="T33" s="276"/>
      <c r="U33" s="275"/>
      <c r="V33" s="275"/>
      <c r="W33" s="275"/>
      <c r="X33" s="275"/>
      <c r="Y33" s="275"/>
      <c r="Z33" s="275"/>
      <c r="AA33" s="275"/>
      <c r="AB33" s="275"/>
      <c r="AC33" s="275"/>
    </row>
    <row r="34" spans="2:29">
      <c r="B34" s="1"/>
      <c r="C34" s="229"/>
      <c r="D34" s="229"/>
      <c r="E34" s="232"/>
      <c r="F34" s="234"/>
      <c r="G34" s="229"/>
      <c r="H34" s="2" t="s">
        <v>2</v>
      </c>
      <c r="I34" s="3" t="s">
        <v>18</v>
      </c>
      <c r="J34" s="3" t="s">
        <v>95</v>
      </c>
      <c r="K34" s="2" t="s">
        <v>2</v>
      </c>
      <c r="L34" s="3" t="s">
        <v>18</v>
      </c>
      <c r="M34" s="3" t="s">
        <v>95</v>
      </c>
      <c r="N34" s="32"/>
      <c r="O34" s="1"/>
      <c r="P34" s="276"/>
      <c r="Q34" s="276"/>
      <c r="R34" s="277"/>
      <c r="S34" s="278"/>
      <c r="T34" s="276"/>
      <c r="U34" s="177"/>
      <c r="V34" s="178"/>
      <c r="W34" s="178"/>
      <c r="X34" s="177"/>
      <c r="Y34" s="178"/>
      <c r="Z34" s="178"/>
      <c r="AA34" s="177"/>
      <c r="AB34" s="178"/>
      <c r="AC34" s="178"/>
    </row>
    <row r="35" spans="2:29">
      <c r="B35" s="1"/>
      <c r="C35" s="238"/>
      <c r="D35" s="238"/>
      <c r="E35" s="20">
        <v>8757</v>
      </c>
      <c r="F35" s="21" t="s">
        <v>3</v>
      </c>
      <c r="G35" s="21"/>
      <c r="H35" s="20">
        <v>4688</v>
      </c>
      <c r="I35" s="21" t="s">
        <v>3</v>
      </c>
      <c r="J35" s="21"/>
      <c r="K35" s="20">
        <v>4069</v>
      </c>
      <c r="L35" s="21" t="s">
        <v>3</v>
      </c>
      <c r="M35" s="21"/>
      <c r="N35" s="33"/>
      <c r="O35" s="1"/>
      <c r="P35" s="276"/>
      <c r="Q35" s="276"/>
      <c r="R35" s="179"/>
      <c r="S35" s="180"/>
      <c r="T35" s="180"/>
      <c r="U35" s="179"/>
      <c r="V35" s="180"/>
      <c r="W35" s="180"/>
      <c r="X35" s="179"/>
      <c r="Y35" s="180"/>
      <c r="Z35" s="180"/>
      <c r="AA35" s="179"/>
      <c r="AB35" s="180"/>
      <c r="AC35" s="180"/>
    </row>
    <row r="36" spans="2:29">
      <c r="B36" s="1"/>
      <c r="C36" s="248" t="s">
        <v>4</v>
      </c>
      <c r="D36" s="24" t="s">
        <v>5</v>
      </c>
      <c r="E36" s="4">
        <v>485</v>
      </c>
      <c r="F36" s="30">
        <v>5.5384264017357543</v>
      </c>
      <c r="G36" s="30" t="s">
        <v>98</v>
      </c>
      <c r="H36" s="4">
        <v>307</v>
      </c>
      <c r="I36" s="30">
        <v>6.5486348122866893</v>
      </c>
      <c r="J36" s="30" t="s">
        <v>121</v>
      </c>
      <c r="K36" s="4">
        <v>178</v>
      </c>
      <c r="L36" s="30">
        <v>4.374539198820349</v>
      </c>
      <c r="M36" s="30" t="s">
        <v>110</v>
      </c>
      <c r="N36" s="269">
        <v>0</v>
      </c>
      <c r="O36" s="1"/>
      <c r="P36" s="236"/>
      <c r="Q36" s="24"/>
      <c r="R36" s="4"/>
      <c r="S36" s="30"/>
      <c r="T36" s="30"/>
      <c r="U36" s="4"/>
      <c r="V36" s="30"/>
      <c r="W36" s="30"/>
      <c r="X36" s="4"/>
      <c r="Y36" s="30"/>
      <c r="Z36" s="30"/>
      <c r="AA36" s="4"/>
      <c r="AB36" s="30"/>
      <c r="AC36" s="30"/>
    </row>
    <row r="37" spans="2:29">
      <c r="B37" s="1"/>
      <c r="C37" s="236"/>
      <c r="D37" s="24" t="s">
        <v>16</v>
      </c>
      <c r="E37" s="4">
        <v>1825</v>
      </c>
      <c r="F37" s="30">
        <v>20.840470480758249</v>
      </c>
      <c r="G37" s="30" t="s">
        <v>99</v>
      </c>
      <c r="H37" s="4">
        <v>1125</v>
      </c>
      <c r="I37" s="30">
        <v>23.997440273037544</v>
      </c>
      <c r="J37" s="30" t="s">
        <v>122</v>
      </c>
      <c r="K37" s="4">
        <v>700</v>
      </c>
      <c r="L37" s="30">
        <v>17.203244040304742</v>
      </c>
      <c r="M37" s="30" t="s">
        <v>142</v>
      </c>
      <c r="N37" s="261"/>
      <c r="O37" s="1"/>
      <c r="P37" s="236"/>
      <c r="Q37" s="24"/>
      <c r="R37" s="4"/>
      <c r="S37" s="30"/>
      <c r="T37" s="30"/>
      <c r="U37" s="4"/>
      <c r="V37" s="30"/>
      <c r="W37" s="30"/>
      <c r="X37" s="4"/>
      <c r="Y37" s="30"/>
      <c r="Z37" s="30"/>
      <c r="AA37" s="4"/>
      <c r="AB37" s="30"/>
      <c r="AC37" s="30"/>
    </row>
    <row r="38" spans="2:29">
      <c r="B38" s="1"/>
      <c r="C38" s="236"/>
      <c r="D38" s="24" t="s">
        <v>17</v>
      </c>
      <c r="E38" s="4">
        <v>2900</v>
      </c>
      <c r="F38" s="30">
        <v>33.116364051615847</v>
      </c>
      <c r="G38" s="30" t="s">
        <v>100</v>
      </c>
      <c r="H38" s="4">
        <v>1650</v>
      </c>
      <c r="I38" s="30">
        <v>35.196245733788395</v>
      </c>
      <c r="J38" s="30" t="s">
        <v>123</v>
      </c>
      <c r="K38" s="4">
        <v>1250</v>
      </c>
      <c r="L38" s="30">
        <v>30.720078643401326</v>
      </c>
      <c r="M38" s="30" t="s">
        <v>143</v>
      </c>
      <c r="N38" s="261"/>
      <c r="O38" s="1"/>
      <c r="P38" s="236"/>
      <c r="Q38" s="24"/>
      <c r="R38" s="4"/>
      <c r="S38" s="30"/>
      <c r="T38" s="30"/>
      <c r="U38" s="4"/>
      <c r="V38" s="30"/>
      <c r="W38" s="30"/>
      <c r="X38" s="4"/>
      <c r="Y38" s="30"/>
      <c r="Z38" s="30"/>
      <c r="AA38" s="4"/>
      <c r="AB38" s="30"/>
      <c r="AC38" s="30"/>
    </row>
    <row r="39" spans="2:29">
      <c r="B39" s="1"/>
      <c r="C39" s="236"/>
      <c r="D39" s="24" t="s">
        <v>21</v>
      </c>
      <c r="E39" s="4">
        <v>3547</v>
      </c>
      <c r="F39" s="30">
        <v>40.504739065890142</v>
      </c>
      <c r="G39" s="30" t="s">
        <v>101</v>
      </c>
      <c r="H39" s="4">
        <v>1606</v>
      </c>
      <c r="I39" s="30">
        <v>34.257679180887372</v>
      </c>
      <c r="J39" s="30" t="s">
        <v>124</v>
      </c>
      <c r="K39" s="4">
        <v>1941</v>
      </c>
      <c r="L39" s="30">
        <v>47.702138117473581</v>
      </c>
      <c r="M39" s="30" t="s">
        <v>144</v>
      </c>
      <c r="N39" s="261"/>
      <c r="O39" s="1"/>
      <c r="P39" s="236"/>
      <c r="Q39" s="24"/>
      <c r="R39" s="4"/>
      <c r="S39" s="30"/>
      <c r="T39" s="30"/>
      <c r="U39" s="4"/>
      <c r="V39" s="30"/>
      <c r="W39" s="30"/>
      <c r="X39" s="4"/>
      <c r="Y39" s="30"/>
      <c r="Z39" s="30"/>
      <c r="AA39" s="4"/>
      <c r="AB39" s="30"/>
      <c r="AC39" s="30"/>
    </row>
    <row r="40" spans="2:29">
      <c r="B40" s="1"/>
      <c r="C40" s="236" t="s">
        <v>6</v>
      </c>
      <c r="D40" s="24" t="s">
        <v>14</v>
      </c>
      <c r="E40" s="4">
        <v>3921</v>
      </c>
      <c r="F40" s="30">
        <v>44.775608084960602</v>
      </c>
      <c r="G40" s="30" t="s">
        <v>102</v>
      </c>
      <c r="H40" s="5">
        <v>2063</v>
      </c>
      <c r="I40" s="30">
        <v>44.005972696245735</v>
      </c>
      <c r="J40" s="30" t="s">
        <v>125</v>
      </c>
      <c r="K40" s="5">
        <v>1858</v>
      </c>
      <c r="L40" s="30">
        <v>45.662324895551734</v>
      </c>
      <c r="M40" s="30" t="s">
        <v>145</v>
      </c>
      <c r="N40" s="261">
        <v>0.26</v>
      </c>
      <c r="O40" s="1"/>
      <c r="P40" s="236"/>
      <c r="Q40" s="24"/>
      <c r="R40" s="4"/>
      <c r="S40" s="30"/>
      <c r="T40" s="30"/>
      <c r="U40" s="5"/>
      <c r="V40" s="30"/>
      <c r="W40" s="30"/>
      <c r="X40" s="5"/>
      <c r="Y40" s="30"/>
      <c r="Z40" s="30"/>
      <c r="AA40" s="5"/>
      <c r="AB40" s="30"/>
      <c r="AC40" s="30"/>
    </row>
    <row r="41" spans="2:29">
      <c r="B41" s="1"/>
      <c r="C41" s="236"/>
      <c r="D41" s="24" t="s">
        <v>15</v>
      </c>
      <c r="E41" s="4">
        <v>4836</v>
      </c>
      <c r="F41" s="30">
        <v>55.224391915039398</v>
      </c>
      <c r="G41" s="30" t="s">
        <v>103</v>
      </c>
      <c r="H41" s="5">
        <v>2625</v>
      </c>
      <c r="I41" s="30">
        <v>55.994027303754265</v>
      </c>
      <c r="J41" s="30" t="s">
        <v>126</v>
      </c>
      <c r="K41" s="5">
        <v>2211</v>
      </c>
      <c r="L41" s="30">
        <v>54.337675104448266</v>
      </c>
      <c r="M41" s="30" t="s">
        <v>146</v>
      </c>
      <c r="N41" s="261"/>
      <c r="O41" s="1"/>
      <c r="P41" s="236"/>
      <c r="Q41" s="24"/>
      <c r="R41" s="4"/>
      <c r="S41" s="30"/>
      <c r="T41" s="30"/>
      <c r="U41" s="5"/>
      <c r="V41" s="30"/>
      <c r="W41" s="30"/>
      <c r="X41" s="5"/>
      <c r="Y41" s="30"/>
      <c r="Z41" s="30"/>
      <c r="AA41" s="5"/>
      <c r="AB41" s="30"/>
      <c r="AC41" s="30"/>
    </row>
    <row r="42" spans="2:29" ht="15.95" customHeight="1">
      <c r="B42" s="1"/>
      <c r="C42" s="247" t="s">
        <v>80</v>
      </c>
      <c r="D42" s="22" t="s">
        <v>77</v>
      </c>
      <c r="E42" s="4">
        <v>461</v>
      </c>
      <c r="F42" s="30">
        <v>5.2643599406189328</v>
      </c>
      <c r="G42" s="30" t="s">
        <v>104</v>
      </c>
      <c r="H42" s="6">
        <v>232</v>
      </c>
      <c r="I42" s="30">
        <v>4.9488054607508536</v>
      </c>
      <c r="J42" s="30" t="s">
        <v>127</v>
      </c>
      <c r="K42" s="6">
        <v>229</v>
      </c>
      <c r="L42" s="30">
        <v>5.6279184074711237</v>
      </c>
      <c r="M42" s="30" t="s">
        <v>147</v>
      </c>
      <c r="N42" s="262">
        <v>0.19</v>
      </c>
      <c r="O42" s="1"/>
      <c r="P42" s="247"/>
      <c r="Q42" s="22"/>
      <c r="R42" s="4"/>
      <c r="S42" s="30"/>
      <c r="T42" s="30"/>
      <c r="U42" s="6"/>
      <c r="V42" s="30"/>
      <c r="W42" s="30"/>
      <c r="X42" s="6"/>
      <c r="Y42" s="30"/>
      <c r="Z42" s="30"/>
      <c r="AA42" s="6"/>
      <c r="AB42" s="30"/>
      <c r="AC42" s="30"/>
    </row>
    <row r="43" spans="2:29">
      <c r="B43" s="1"/>
      <c r="C43" s="247"/>
      <c r="D43" s="22" t="s">
        <v>78</v>
      </c>
      <c r="E43" s="4">
        <v>5501</v>
      </c>
      <c r="F43" s="30">
        <v>62.818316775151303</v>
      </c>
      <c r="G43" s="30" t="s">
        <v>105</v>
      </c>
      <c r="H43" s="6">
        <v>2970</v>
      </c>
      <c r="I43" s="30">
        <v>63.353242320819113</v>
      </c>
      <c r="J43" s="30" t="s">
        <v>128</v>
      </c>
      <c r="K43" s="6">
        <v>2531</v>
      </c>
      <c r="L43" s="30">
        <v>62.202015237159003</v>
      </c>
      <c r="M43" s="30" t="s">
        <v>148</v>
      </c>
      <c r="N43" s="262"/>
      <c r="O43" s="1"/>
      <c r="P43" s="247"/>
      <c r="Q43" s="22"/>
      <c r="R43" s="4"/>
      <c r="S43" s="30"/>
      <c r="T43" s="30"/>
      <c r="U43" s="6"/>
      <c r="V43" s="30"/>
      <c r="W43" s="30"/>
      <c r="X43" s="6"/>
      <c r="Y43" s="30"/>
      <c r="Z43" s="30"/>
      <c r="AA43" s="6"/>
      <c r="AB43" s="30"/>
      <c r="AC43" s="30"/>
    </row>
    <row r="44" spans="2:29">
      <c r="B44" s="1"/>
      <c r="C44" s="247"/>
      <c r="D44" s="22" t="s">
        <v>79</v>
      </c>
      <c r="E44" s="4">
        <v>2666</v>
      </c>
      <c r="F44" s="30">
        <v>30.444216055726848</v>
      </c>
      <c r="G44" s="30" t="s">
        <v>106</v>
      </c>
      <c r="H44" s="6">
        <v>1415</v>
      </c>
      <c r="I44" s="30">
        <v>30.183447098976107</v>
      </c>
      <c r="J44" s="30" t="s">
        <v>129</v>
      </c>
      <c r="K44" s="6">
        <v>1251</v>
      </c>
      <c r="L44" s="30">
        <v>30.744654706316048</v>
      </c>
      <c r="M44" s="30" t="s">
        <v>149</v>
      </c>
      <c r="N44" s="262"/>
      <c r="O44" s="1"/>
      <c r="P44" s="247"/>
      <c r="Q44" s="22"/>
      <c r="R44" s="4"/>
      <c r="S44" s="30"/>
      <c r="T44" s="30"/>
      <c r="U44" s="6"/>
      <c r="V44" s="30"/>
      <c r="W44" s="30"/>
      <c r="X44" s="6"/>
      <c r="Y44" s="30"/>
      <c r="Z44" s="30"/>
      <c r="AA44" s="6"/>
      <c r="AB44" s="30"/>
      <c r="AC44" s="30"/>
    </row>
    <row r="45" spans="2:29" ht="15.95" customHeight="1">
      <c r="B45" s="1"/>
      <c r="C45" s="236" t="s">
        <v>96</v>
      </c>
      <c r="D45" s="24" t="s">
        <v>93</v>
      </c>
      <c r="E45" s="4">
        <v>5117</v>
      </c>
      <c r="F45" s="30">
        <v>58.433253397282172</v>
      </c>
      <c r="G45" s="30" t="s">
        <v>107</v>
      </c>
      <c r="H45" s="5">
        <v>2948</v>
      </c>
      <c r="I45" s="30">
        <v>62.883959044368595</v>
      </c>
      <c r="J45" s="30" t="s">
        <v>130</v>
      </c>
      <c r="K45" s="5">
        <v>2169</v>
      </c>
      <c r="L45" s="30">
        <v>53.305480462029983</v>
      </c>
      <c r="M45" s="30" t="s">
        <v>150</v>
      </c>
      <c r="N45" s="261">
        <v>0</v>
      </c>
      <c r="O45" s="1"/>
      <c r="P45" s="236"/>
      <c r="Q45" s="24"/>
      <c r="R45" s="4"/>
      <c r="S45" s="30"/>
      <c r="T45" s="30"/>
      <c r="U45" s="5"/>
      <c r="V45" s="30"/>
      <c r="W45" s="30"/>
      <c r="X45" s="5"/>
      <c r="Y45" s="30"/>
      <c r="Z45" s="30"/>
      <c r="AA45" s="5"/>
      <c r="AB45" s="30"/>
      <c r="AC45" s="30"/>
    </row>
    <row r="46" spans="2:29">
      <c r="B46" s="1"/>
      <c r="C46" s="236"/>
      <c r="D46" s="25">
        <v>1</v>
      </c>
      <c r="E46" s="4">
        <v>1728</v>
      </c>
      <c r="F46" s="30">
        <v>19.732785200411097</v>
      </c>
      <c r="G46" s="30" t="s">
        <v>108</v>
      </c>
      <c r="H46" s="5">
        <v>847</v>
      </c>
      <c r="I46" s="30">
        <v>18.067406143344712</v>
      </c>
      <c r="J46" s="30" t="s">
        <v>131</v>
      </c>
      <c r="K46" s="5">
        <v>881</v>
      </c>
      <c r="L46" s="30">
        <v>21.651511427869256</v>
      </c>
      <c r="M46" s="30" t="s">
        <v>151</v>
      </c>
      <c r="N46" s="261"/>
      <c r="O46" s="1"/>
      <c r="P46" s="236"/>
      <c r="Q46" s="25"/>
      <c r="R46" s="4"/>
      <c r="S46" s="30"/>
      <c r="T46" s="30"/>
      <c r="U46" s="5"/>
      <c r="V46" s="30"/>
      <c r="W46" s="30"/>
      <c r="X46" s="5"/>
      <c r="Y46" s="30"/>
      <c r="Z46" s="30"/>
      <c r="AA46" s="5"/>
      <c r="AB46" s="30"/>
      <c r="AC46" s="30"/>
    </row>
    <row r="47" spans="2:29">
      <c r="B47" s="1"/>
      <c r="C47" s="236"/>
      <c r="D47" s="25">
        <v>2</v>
      </c>
      <c r="E47" s="4">
        <v>1136</v>
      </c>
      <c r="F47" s="30">
        <v>12.972479159529518</v>
      </c>
      <c r="G47" s="30" t="s">
        <v>109</v>
      </c>
      <c r="H47" s="5">
        <v>553</v>
      </c>
      <c r="I47" s="30">
        <v>11.796075085324233</v>
      </c>
      <c r="J47" s="30" t="s">
        <v>132</v>
      </c>
      <c r="K47" s="5">
        <v>583</v>
      </c>
      <c r="L47" s="30">
        <v>14.327844679282379</v>
      </c>
      <c r="M47" s="30" t="s">
        <v>152</v>
      </c>
      <c r="N47" s="261"/>
      <c r="O47" s="1"/>
      <c r="P47" s="236"/>
      <c r="Q47" s="25"/>
      <c r="R47" s="4"/>
      <c r="S47" s="30"/>
      <c r="T47" s="30"/>
      <c r="U47" s="5"/>
      <c r="V47" s="30"/>
      <c r="W47" s="30"/>
      <c r="X47" s="5"/>
      <c r="Y47" s="30"/>
      <c r="Z47" s="30"/>
      <c r="AA47" s="5"/>
      <c r="AB47" s="30"/>
      <c r="AC47" s="30"/>
    </row>
    <row r="48" spans="2:29">
      <c r="B48" s="1"/>
      <c r="C48" s="236"/>
      <c r="D48" s="25" t="s">
        <v>94</v>
      </c>
      <c r="E48" s="4">
        <v>776</v>
      </c>
      <c r="F48" s="30">
        <v>8.8614822427772069</v>
      </c>
      <c r="G48" s="30" t="s">
        <v>110</v>
      </c>
      <c r="H48" s="5">
        <v>340</v>
      </c>
      <c r="I48" s="30">
        <v>7.2525597269624571</v>
      </c>
      <c r="J48" s="30" t="s">
        <v>127</v>
      </c>
      <c r="K48" s="5">
        <v>436</v>
      </c>
      <c r="L48" s="30">
        <v>10.715163430818384</v>
      </c>
      <c r="M48" s="30" t="s">
        <v>153</v>
      </c>
      <c r="N48" s="261"/>
      <c r="O48" s="1"/>
      <c r="P48" s="236"/>
      <c r="Q48" s="25"/>
      <c r="R48" s="4"/>
      <c r="S48" s="30"/>
      <c r="T48" s="30"/>
      <c r="U48" s="5"/>
      <c r="V48" s="30"/>
      <c r="W48" s="30"/>
      <c r="X48" s="5"/>
      <c r="Y48" s="30"/>
      <c r="Z48" s="30"/>
      <c r="AA48" s="5"/>
      <c r="AB48" s="30"/>
      <c r="AC48" s="30"/>
    </row>
    <row r="49" spans="2:29" ht="15.95" customHeight="1">
      <c r="B49" s="1"/>
      <c r="C49" s="236" t="s">
        <v>97</v>
      </c>
      <c r="D49" s="26" t="s">
        <v>7</v>
      </c>
      <c r="E49" s="4">
        <v>1066</v>
      </c>
      <c r="F49" s="30">
        <v>12.173118647938793</v>
      </c>
      <c r="G49" s="30" t="s">
        <v>111</v>
      </c>
      <c r="H49" s="6">
        <v>572</v>
      </c>
      <c r="I49" s="30">
        <v>12.201365187713311</v>
      </c>
      <c r="J49" s="30" t="s">
        <v>118</v>
      </c>
      <c r="K49" s="6">
        <v>494</v>
      </c>
      <c r="L49" s="30">
        <v>12.140575079872203</v>
      </c>
      <c r="M49" s="30" t="s">
        <v>154</v>
      </c>
      <c r="N49" s="261">
        <v>0</v>
      </c>
      <c r="O49" s="1"/>
      <c r="P49" s="236"/>
      <c r="Q49" s="26"/>
      <c r="R49" s="4"/>
      <c r="S49" s="30"/>
      <c r="T49" s="30"/>
      <c r="U49" s="6"/>
      <c r="V49" s="30"/>
      <c r="W49" s="30"/>
      <c r="X49" s="6"/>
      <c r="Y49" s="30"/>
      <c r="Z49" s="30"/>
      <c r="AA49" s="6"/>
      <c r="AB49" s="30"/>
      <c r="AC49" s="30"/>
    </row>
    <row r="50" spans="2:29">
      <c r="B50" s="1"/>
      <c r="C50" s="236"/>
      <c r="D50" s="26" t="s">
        <v>8</v>
      </c>
      <c r="E50" s="4">
        <v>4285</v>
      </c>
      <c r="F50" s="30">
        <v>48.932282745232385</v>
      </c>
      <c r="G50" s="30" t="s">
        <v>112</v>
      </c>
      <c r="H50" s="6">
        <v>3002</v>
      </c>
      <c r="I50" s="30">
        <v>64.035836177474408</v>
      </c>
      <c r="J50" s="30" t="s">
        <v>133</v>
      </c>
      <c r="K50" s="6">
        <v>1283</v>
      </c>
      <c r="L50" s="30">
        <v>31.531088719587125</v>
      </c>
      <c r="M50" s="30" t="s">
        <v>155</v>
      </c>
      <c r="N50" s="261"/>
      <c r="O50" s="1"/>
      <c r="P50" s="236"/>
      <c r="Q50" s="26"/>
      <c r="R50" s="4"/>
      <c r="S50" s="30"/>
      <c r="T50" s="30"/>
      <c r="U50" s="6"/>
      <c r="V50" s="30"/>
      <c r="W50" s="30"/>
      <c r="X50" s="6"/>
      <c r="Y50" s="30"/>
      <c r="Z50" s="30"/>
      <c r="AA50" s="6"/>
      <c r="AB50" s="30"/>
      <c r="AC50" s="30"/>
    </row>
    <row r="51" spans="2:29">
      <c r="B51" s="1"/>
      <c r="C51" s="236"/>
      <c r="D51" s="24" t="s">
        <v>9</v>
      </c>
      <c r="E51" s="4">
        <v>3380</v>
      </c>
      <c r="F51" s="30">
        <v>38.597693273952267</v>
      </c>
      <c r="G51" s="30" t="s">
        <v>113</v>
      </c>
      <c r="H51" s="6">
        <v>1108</v>
      </c>
      <c r="I51" s="30">
        <v>23.634812286689417</v>
      </c>
      <c r="J51" s="30" t="s">
        <v>134</v>
      </c>
      <c r="K51" s="6">
        <v>2272</v>
      </c>
      <c r="L51" s="30">
        <v>55.836814942246249</v>
      </c>
      <c r="M51" s="30" t="s">
        <v>156</v>
      </c>
      <c r="N51" s="261"/>
      <c r="O51" s="1"/>
      <c r="P51" s="236"/>
      <c r="Q51" s="24"/>
      <c r="R51" s="4"/>
      <c r="S51" s="30"/>
      <c r="T51" s="30"/>
      <c r="U51" s="6"/>
      <c r="V51" s="30"/>
      <c r="W51" s="30"/>
      <c r="X51" s="6"/>
      <c r="Y51" s="30"/>
      <c r="Z51" s="30"/>
      <c r="AA51" s="6"/>
      <c r="AB51" s="30"/>
      <c r="AC51" s="30"/>
    </row>
    <row r="52" spans="2:29">
      <c r="B52" s="1"/>
      <c r="C52" s="236"/>
      <c r="D52" s="24" t="s">
        <v>10</v>
      </c>
      <c r="E52" s="4">
        <v>26</v>
      </c>
      <c r="F52" s="30">
        <v>0.29690533287655591</v>
      </c>
      <c r="G52" s="30" t="s">
        <v>114</v>
      </c>
      <c r="H52" s="6">
        <v>6</v>
      </c>
      <c r="I52" s="30">
        <v>0.12798634812286688</v>
      </c>
      <c r="J52" s="30" t="s">
        <v>135</v>
      </c>
      <c r="K52" s="6">
        <v>20</v>
      </c>
      <c r="L52" s="30">
        <v>0.49152125829442123</v>
      </c>
      <c r="M52" s="30" t="s">
        <v>157</v>
      </c>
      <c r="N52" s="261"/>
      <c r="O52" s="1"/>
      <c r="P52" s="236"/>
      <c r="Q52" s="24"/>
      <c r="R52" s="4"/>
      <c r="S52" s="30"/>
      <c r="T52" s="30"/>
      <c r="U52" s="6"/>
      <c r="V52" s="30"/>
      <c r="W52" s="30"/>
      <c r="X52" s="6"/>
      <c r="Y52" s="30"/>
      <c r="Z52" s="30"/>
      <c r="AA52" s="6"/>
      <c r="AB52" s="30"/>
      <c r="AC52" s="30"/>
    </row>
    <row r="53" spans="2:29">
      <c r="B53" s="1"/>
      <c r="C53" s="236" t="s">
        <v>11</v>
      </c>
      <c r="D53" s="24" t="s">
        <v>73</v>
      </c>
      <c r="E53" s="4">
        <v>1559</v>
      </c>
      <c r="F53" s="30">
        <v>17.802900536713487</v>
      </c>
      <c r="G53" s="30" t="s">
        <v>115</v>
      </c>
      <c r="H53" s="6">
        <v>1015</v>
      </c>
      <c r="I53" s="30">
        <v>21.65102389078498</v>
      </c>
      <c r="J53" s="30" t="s">
        <v>136</v>
      </c>
      <c r="K53" s="6">
        <v>544</v>
      </c>
      <c r="L53" s="30">
        <v>13.369378225608259</v>
      </c>
      <c r="M53" s="30" t="s">
        <v>158</v>
      </c>
      <c r="N53" s="261">
        <v>0</v>
      </c>
      <c r="O53" s="1"/>
      <c r="P53" s="236"/>
      <c r="Q53" s="24"/>
      <c r="R53" s="4"/>
      <c r="S53" s="30"/>
      <c r="T53" s="30"/>
      <c r="U53" s="6"/>
      <c r="V53" s="30"/>
      <c r="W53" s="30"/>
      <c r="X53" s="6"/>
      <c r="Y53" s="30"/>
      <c r="Z53" s="30"/>
      <c r="AA53" s="6"/>
      <c r="AB53" s="30"/>
      <c r="AC53" s="30"/>
    </row>
    <row r="54" spans="2:29">
      <c r="B54" s="1"/>
      <c r="C54" s="236"/>
      <c r="D54" s="24" t="s">
        <v>12</v>
      </c>
      <c r="E54" s="4">
        <v>4912</v>
      </c>
      <c r="F54" s="30">
        <v>56.092269041909326</v>
      </c>
      <c r="G54" s="30" t="s">
        <v>116</v>
      </c>
      <c r="H54" s="6">
        <v>2758</v>
      </c>
      <c r="I54" s="30">
        <v>58.831058020477812</v>
      </c>
      <c r="J54" s="30" t="s">
        <v>137</v>
      </c>
      <c r="K54" s="6">
        <v>2154</v>
      </c>
      <c r="L54" s="30">
        <v>52.936839518309164</v>
      </c>
      <c r="M54" s="30" t="s">
        <v>159</v>
      </c>
      <c r="N54" s="261"/>
      <c r="O54" s="1"/>
      <c r="P54" s="236"/>
      <c r="Q54" s="24"/>
      <c r="R54" s="4"/>
      <c r="S54" s="30"/>
      <c r="T54" s="30"/>
      <c r="U54" s="6"/>
      <c r="V54" s="30"/>
      <c r="W54" s="30"/>
      <c r="X54" s="6"/>
      <c r="Y54" s="30"/>
      <c r="Z54" s="30"/>
      <c r="AA54" s="6"/>
      <c r="AB54" s="30"/>
      <c r="AC54" s="30"/>
    </row>
    <row r="55" spans="2:29">
      <c r="B55" s="1"/>
      <c r="C55" s="236"/>
      <c r="D55" s="24" t="s">
        <v>13</v>
      </c>
      <c r="E55" s="4">
        <v>2286</v>
      </c>
      <c r="F55" s="30">
        <v>26.104830421377184</v>
      </c>
      <c r="G55" s="30" t="s">
        <v>117</v>
      </c>
      <c r="H55" s="6">
        <v>915</v>
      </c>
      <c r="I55" s="30">
        <v>19.517918088737201</v>
      </c>
      <c r="J55" s="30" t="s">
        <v>138</v>
      </c>
      <c r="K55" s="6">
        <v>1371</v>
      </c>
      <c r="L55" s="30">
        <v>33.693782256082578</v>
      </c>
      <c r="M55" s="30" t="s">
        <v>160</v>
      </c>
      <c r="N55" s="261"/>
      <c r="O55" s="1"/>
      <c r="P55" s="236"/>
      <c r="Q55" s="24"/>
      <c r="R55" s="4"/>
      <c r="S55" s="30"/>
      <c r="T55" s="30"/>
      <c r="U55" s="6"/>
      <c r="V55" s="30"/>
      <c r="W55" s="30"/>
      <c r="X55" s="6"/>
      <c r="Y55" s="30"/>
      <c r="Z55" s="30"/>
      <c r="AA55" s="6"/>
      <c r="AB55" s="30"/>
      <c r="AC55" s="30"/>
    </row>
    <row r="56" spans="2:29" ht="15.95" customHeight="1">
      <c r="B56" s="1"/>
      <c r="C56" s="245" t="s">
        <v>76</v>
      </c>
      <c r="D56" s="24" t="s">
        <v>74</v>
      </c>
      <c r="E56" s="4">
        <v>883</v>
      </c>
      <c r="F56" s="30">
        <v>10.083361881923034</v>
      </c>
      <c r="G56" s="30" t="s">
        <v>118</v>
      </c>
      <c r="H56" s="6">
        <v>62</v>
      </c>
      <c r="I56" s="30">
        <v>1.3225255972696246</v>
      </c>
      <c r="J56" s="30" t="s">
        <v>139</v>
      </c>
      <c r="K56" s="6">
        <v>821</v>
      </c>
      <c r="L56" s="30">
        <v>20.176947652985991</v>
      </c>
      <c r="M56" s="30" t="s">
        <v>161</v>
      </c>
      <c r="N56" s="261">
        <v>0</v>
      </c>
      <c r="O56" s="1"/>
      <c r="P56" s="245"/>
      <c r="Q56" s="24"/>
      <c r="R56" s="4"/>
      <c r="S56" s="30"/>
      <c r="T56" s="30"/>
      <c r="U56" s="6"/>
      <c r="V56" s="30"/>
      <c r="W56" s="30"/>
      <c r="X56" s="6"/>
      <c r="Y56" s="30"/>
      <c r="Z56" s="30"/>
      <c r="AA56" s="6"/>
      <c r="AB56" s="30"/>
      <c r="AC56" s="30"/>
    </row>
    <row r="57" spans="2:29">
      <c r="B57" s="1"/>
      <c r="C57" s="245"/>
      <c r="D57" s="24" t="s">
        <v>75</v>
      </c>
      <c r="E57" s="4">
        <v>940</v>
      </c>
      <c r="F57" s="30">
        <v>10.734269727075482</v>
      </c>
      <c r="G57" s="30" t="s">
        <v>119</v>
      </c>
      <c r="H57" s="6">
        <v>518</v>
      </c>
      <c r="I57" s="30">
        <v>11.04948805460751</v>
      </c>
      <c r="J57" s="30" t="s">
        <v>140</v>
      </c>
      <c r="K57" s="6">
        <v>422</v>
      </c>
      <c r="L57" s="30">
        <v>10.371098550012288</v>
      </c>
      <c r="M57" s="30" t="s">
        <v>162</v>
      </c>
      <c r="N57" s="261"/>
      <c r="O57" s="1"/>
      <c r="P57" s="245"/>
      <c r="Q57" s="24"/>
      <c r="R57" s="4"/>
      <c r="S57" s="30"/>
      <c r="T57" s="30"/>
      <c r="U57" s="6"/>
      <c r="V57" s="30"/>
      <c r="W57" s="30"/>
      <c r="X57" s="6"/>
      <c r="Y57" s="30"/>
      <c r="Z57" s="30"/>
      <c r="AA57" s="6"/>
      <c r="AB57" s="30"/>
      <c r="AC57" s="30"/>
    </row>
    <row r="58" spans="2:29" ht="16.5" thickBot="1">
      <c r="B58" s="1"/>
      <c r="C58" s="246"/>
      <c r="D58" s="27" t="s">
        <v>22</v>
      </c>
      <c r="E58" s="7">
        <v>6743</v>
      </c>
      <c r="F58" s="31">
        <v>77.001256137946783</v>
      </c>
      <c r="G58" s="31" t="s">
        <v>120</v>
      </c>
      <c r="H58" s="8">
        <v>4015</v>
      </c>
      <c r="I58" s="31">
        <v>85.64419795221842</v>
      </c>
      <c r="J58" s="31" t="s">
        <v>141</v>
      </c>
      <c r="K58" s="8">
        <v>2728</v>
      </c>
      <c r="L58" s="31">
        <v>67.043499631359055</v>
      </c>
      <c r="M58" s="31" t="s">
        <v>163</v>
      </c>
      <c r="N58" s="263"/>
      <c r="O58" s="1"/>
      <c r="P58" s="245"/>
      <c r="Q58" s="24"/>
      <c r="R58" s="4"/>
      <c r="S58" s="30"/>
      <c r="T58" s="30"/>
      <c r="U58" s="6"/>
      <c r="V58" s="30"/>
      <c r="W58" s="30"/>
      <c r="X58" s="6"/>
      <c r="Y58" s="30"/>
      <c r="Z58" s="30"/>
      <c r="AA58" s="6"/>
      <c r="AB58" s="30"/>
      <c r="AC58" s="30"/>
    </row>
    <row r="59" spans="2:29">
      <c r="B59" s="1"/>
      <c r="C59" s="35" t="s">
        <v>165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77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2:29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2:29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2:29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2:29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2:29" ht="16.5" thickBot="1">
      <c r="B64" s="1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</row>
    <row r="65" spans="2:45" ht="15.6" customHeight="1">
      <c r="B65" s="1"/>
      <c r="C65" s="228" t="s">
        <v>397</v>
      </c>
      <c r="D65" s="258"/>
      <c r="E65" s="249" t="s">
        <v>1</v>
      </c>
      <c r="F65" s="250"/>
      <c r="G65" s="251"/>
      <c r="H65" s="249" t="s">
        <v>19</v>
      </c>
      <c r="I65" s="250"/>
      <c r="J65" s="251"/>
      <c r="K65" s="249" t="s">
        <v>20</v>
      </c>
      <c r="L65" s="250"/>
      <c r="M65" s="251"/>
      <c r="N65" s="267" t="s">
        <v>164</v>
      </c>
      <c r="O65" s="1"/>
      <c r="P65" s="228" t="s">
        <v>397</v>
      </c>
      <c r="Q65" s="258"/>
      <c r="R65" s="249" t="s">
        <v>1</v>
      </c>
      <c r="S65" s="250"/>
      <c r="T65" s="251"/>
      <c r="U65" s="249" t="s">
        <v>19</v>
      </c>
      <c r="V65" s="250"/>
      <c r="W65" s="251"/>
      <c r="X65" s="249" t="s">
        <v>20</v>
      </c>
      <c r="Y65" s="250"/>
      <c r="Z65" s="251"/>
      <c r="AA65" s="249" t="s">
        <v>418</v>
      </c>
      <c r="AB65" s="250"/>
      <c r="AC65" s="250"/>
    </row>
    <row r="66" spans="2:45" ht="28.5">
      <c r="B66" s="1"/>
      <c r="C66" s="229"/>
      <c r="D66" s="259"/>
      <c r="E66" s="95" t="s">
        <v>283</v>
      </c>
      <c r="F66" s="84" t="s">
        <v>282</v>
      </c>
      <c r="G66" s="96" t="s">
        <v>95</v>
      </c>
      <c r="H66" s="95" t="s">
        <v>283</v>
      </c>
      <c r="I66" s="84" t="s">
        <v>282</v>
      </c>
      <c r="J66" s="96" t="s">
        <v>95</v>
      </c>
      <c r="K66" s="95" t="s">
        <v>283</v>
      </c>
      <c r="L66" s="84" t="s">
        <v>282</v>
      </c>
      <c r="M66" s="96" t="s">
        <v>95</v>
      </c>
      <c r="N66" s="268"/>
      <c r="O66" s="1"/>
      <c r="P66" s="229"/>
      <c r="Q66" s="259"/>
      <c r="R66" s="95" t="s">
        <v>283</v>
      </c>
      <c r="S66" s="84" t="s">
        <v>282</v>
      </c>
      <c r="T66" s="96" t="s">
        <v>95</v>
      </c>
      <c r="U66" s="95" t="s">
        <v>283</v>
      </c>
      <c r="V66" s="84" t="s">
        <v>282</v>
      </c>
      <c r="W66" s="96" t="s">
        <v>95</v>
      </c>
      <c r="X66" s="95" t="s">
        <v>283</v>
      </c>
      <c r="Y66" s="84" t="s">
        <v>282</v>
      </c>
      <c r="Z66" s="96" t="s">
        <v>95</v>
      </c>
      <c r="AA66" s="95" t="s">
        <v>283</v>
      </c>
      <c r="AB66" s="84" t="s">
        <v>282</v>
      </c>
      <c r="AC66" s="181" t="s">
        <v>95</v>
      </c>
    </row>
    <row r="67" spans="2:45">
      <c r="B67" s="1"/>
      <c r="C67" s="238"/>
      <c r="D67" s="260"/>
      <c r="E67" s="121">
        <v>9012</v>
      </c>
      <c r="F67" s="123" t="s">
        <v>285</v>
      </c>
      <c r="G67" s="123" t="s">
        <v>285</v>
      </c>
      <c r="H67" s="122">
        <v>4738</v>
      </c>
      <c r="I67" s="123" t="s">
        <v>285</v>
      </c>
      <c r="J67" s="123" t="s">
        <v>285</v>
      </c>
      <c r="K67" s="121">
        <v>4274</v>
      </c>
      <c r="L67" s="123" t="s">
        <v>285</v>
      </c>
      <c r="M67" s="124" t="s">
        <v>285</v>
      </c>
      <c r="N67" s="120"/>
      <c r="O67" s="1"/>
      <c r="P67" s="238"/>
      <c r="Q67" s="260"/>
      <c r="R67" s="121">
        <v>9771</v>
      </c>
      <c r="S67" s="123" t="s">
        <v>285</v>
      </c>
      <c r="T67" s="123" t="s">
        <v>285</v>
      </c>
      <c r="U67" s="122">
        <v>4738</v>
      </c>
      <c r="V67" s="123" t="s">
        <v>285</v>
      </c>
      <c r="W67" s="123" t="s">
        <v>285</v>
      </c>
      <c r="X67" s="121">
        <v>4274</v>
      </c>
      <c r="Y67" s="123" t="s">
        <v>285</v>
      </c>
      <c r="Z67" s="124" t="s">
        <v>285</v>
      </c>
      <c r="AA67" s="121">
        <v>759</v>
      </c>
      <c r="AB67" s="123" t="s">
        <v>285</v>
      </c>
      <c r="AC67" s="123" t="s">
        <v>285</v>
      </c>
      <c r="AF67" s="75">
        <v>1</v>
      </c>
      <c r="AG67" s="76" t="s">
        <v>5</v>
      </c>
      <c r="AH67" s="76">
        <v>958</v>
      </c>
      <c r="AI67" s="76">
        <v>9.8000000000000007</v>
      </c>
      <c r="AJ67" s="76">
        <v>12.8</v>
      </c>
      <c r="AK67" s="76">
        <v>308</v>
      </c>
      <c r="AL67" s="76">
        <v>6.5</v>
      </c>
      <c r="AM67" s="76">
        <v>8.4</v>
      </c>
      <c r="AN67" s="76">
        <v>181</v>
      </c>
      <c r="AO67" s="76">
        <v>4.2</v>
      </c>
      <c r="AP67" s="76">
        <v>5.9</v>
      </c>
      <c r="AQ67" s="76">
        <v>469</v>
      </c>
      <c r="AR67" s="76">
        <v>61.8</v>
      </c>
      <c r="AS67" s="76">
        <v>68.2</v>
      </c>
    </row>
    <row r="68" spans="2:45">
      <c r="B68" s="1"/>
      <c r="C68" s="239" t="s">
        <v>4</v>
      </c>
      <c r="D68" s="85" t="s">
        <v>5</v>
      </c>
      <c r="E68" s="97">
        <v>489</v>
      </c>
      <c r="F68" s="79">
        <v>5.4</v>
      </c>
      <c r="G68" s="98">
        <v>7.3</v>
      </c>
      <c r="H68" s="97">
        <v>308</v>
      </c>
      <c r="I68" s="79">
        <v>6.5</v>
      </c>
      <c r="J68" s="99">
        <v>8.4</v>
      </c>
      <c r="K68" s="97">
        <v>181</v>
      </c>
      <c r="L68" s="79">
        <v>4.2</v>
      </c>
      <c r="M68" s="99">
        <v>5.9</v>
      </c>
      <c r="N68" s="252">
        <v>0</v>
      </c>
      <c r="O68" s="1"/>
      <c r="P68" s="239" t="s">
        <v>4</v>
      </c>
      <c r="Q68" s="85" t="s">
        <v>5</v>
      </c>
      <c r="R68" s="97">
        <v>958</v>
      </c>
      <c r="S68" s="79">
        <v>9.8000000000000007</v>
      </c>
      <c r="T68" s="98">
        <v>12.8</v>
      </c>
      <c r="U68" s="97">
        <v>308</v>
      </c>
      <c r="V68" s="79">
        <v>6.5</v>
      </c>
      <c r="W68" s="99">
        <v>8.4</v>
      </c>
      <c r="X68" s="97">
        <v>181</v>
      </c>
      <c r="Y68" s="79">
        <v>4.2</v>
      </c>
      <c r="Z68" s="99">
        <v>5.9</v>
      </c>
      <c r="AA68" s="97">
        <v>469</v>
      </c>
      <c r="AB68" s="79">
        <v>61.8</v>
      </c>
      <c r="AC68" s="182">
        <v>68.2</v>
      </c>
      <c r="AF68" s="75">
        <v>2</v>
      </c>
      <c r="AG68" s="76" t="s">
        <v>401</v>
      </c>
      <c r="AH68" s="76">
        <v>1934</v>
      </c>
      <c r="AI68" s="76">
        <v>19.8</v>
      </c>
      <c r="AJ68" s="76">
        <v>28.4</v>
      </c>
      <c r="AK68" s="76">
        <v>1127</v>
      </c>
      <c r="AL68" s="76">
        <v>23.8</v>
      </c>
      <c r="AM68" s="76">
        <v>32.5</v>
      </c>
      <c r="AN68" s="76">
        <v>717</v>
      </c>
      <c r="AO68" s="76">
        <v>16.8</v>
      </c>
      <c r="AP68" s="76">
        <v>26.3</v>
      </c>
      <c r="AQ68" s="76">
        <v>90</v>
      </c>
      <c r="AR68" s="76">
        <v>11.9</v>
      </c>
      <c r="AS68" s="76">
        <v>14.9</v>
      </c>
    </row>
    <row r="69" spans="2:45">
      <c r="B69" s="1"/>
      <c r="C69" s="240"/>
      <c r="D69" s="85" t="s">
        <v>16</v>
      </c>
      <c r="E69" s="97">
        <v>1844</v>
      </c>
      <c r="F69" s="79">
        <v>20.5</v>
      </c>
      <c r="G69" s="99">
        <v>29.7</v>
      </c>
      <c r="H69" s="97">
        <v>1127</v>
      </c>
      <c r="I69" s="79">
        <v>23.8</v>
      </c>
      <c r="J69" s="99">
        <v>32.5</v>
      </c>
      <c r="K69" s="97">
        <v>717</v>
      </c>
      <c r="L69" s="79">
        <v>16.8</v>
      </c>
      <c r="M69" s="99">
        <v>26.3</v>
      </c>
      <c r="N69" s="253"/>
      <c r="O69" s="1"/>
      <c r="P69" s="240"/>
      <c r="Q69" s="85" t="s">
        <v>401</v>
      </c>
      <c r="R69" s="97">
        <v>1934</v>
      </c>
      <c r="S69" s="79">
        <v>19.8</v>
      </c>
      <c r="T69" s="99">
        <v>28.4</v>
      </c>
      <c r="U69" s="97">
        <v>1127</v>
      </c>
      <c r="V69" s="79">
        <v>23.8</v>
      </c>
      <c r="W69" s="99">
        <v>32.5</v>
      </c>
      <c r="X69" s="97">
        <v>717</v>
      </c>
      <c r="Y69" s="79">
        <v>16.8</v>
      </c>
      <c r="Z69" s="99">
        <v>26.3</v>
      </c>
      <c r="AA69" s="97">
        <v>90</v>
      </c>
      <c r="AB69" s="79">
        <v>11.9</v>
      </c>
      <c r="AC69" s="182">
        <v>14.9</v>
      </c>
      <c r="AF69" s="75">
        <v>3</v>
      </c>
      <c r="AG69" s="76" t="s">
        <v>402</v>
      </c>
      <c r="AH69" s="76">
        <v>3008</v>
      </c>
      <c r="AI69" s="76">
        <v>30.8</v>
      </c>
      <c r="AJ69" s="76">
        <v>33.200000000000003</v>
      </c>
      <c r="AK69" s="76">
        <v>1660</v>
      </c>
      <c r="AL69" s="76">
        <v>35</v>
      </c>
      <c r="AM69" s="76">
        <v>36.799999999999997</v>
      </c>
      <c r="AN69" s="76">
        <v>1281</v>
      </c>
      <c r="AO69" s="76">
        <v>30</v>
      </c>
      <c r="AP69" s="76">
        <v>34.4</v>
      </c>
      <c r="AQ69" s="76">
        <v>67</v>
      </c>
      <c r="AR69" s="76">
        <v>8.8000000000000007</v>
      </c>
      <c r="AS69" s="76">
        <v>8.5</v>
      </c>
    </row>
    <row r="70" spans="2:45">
      <c r="B70" s="1"/>
      <c r="C70" s="240"/>
      <c r="D70" s="85" t="s">
        <v>17</v>
      </c>
      <c r="E70" s="97">
        <v>2941</v>
      </c>
      <c r="F70" s="79">
        <v>32.6</v>
      </c>
      <c r="G70" s="99">
        <v>35.700000000000003</v>
      </c>
      <c r="H70" s="97">
        <v>1660</v>
      </c>
      <c r="I70" s="79">
        <v>35</v>
      </c>
      <c r="J70" s="99">
        <v>36.799999999999997</v>
      </c>
      <c r="K70" s="97">
        <v>1281</v>
      </c>
      <c r="L70" s="79">
        <v>30</v>
      </c>
      <c r="M70" s="99">
        <v>34.4</v>
      </c>
      <c r="N70" s="253"/>
      <c r="O70" s="1"/>
      <c r="P70" s="240"/>
      <c r="Q70" s="85" t="s">
        <v>402</v>
      </c>
      <c r="R70" s="97">
        <v>3008</v>
      </c>
      <c r="S70" s="79">
        <v>30.8</v>
      </c>
      <c r="T70" s="99">
        <v>33.200000000000003</v>
      </c>
      <c r="U70" s="97">
        <v>1660</v>
      </c>
      <c r="V70" s="79">
        <v>35</v>
      </c>
      <c r="W70" s="99">
        <v>36.799999999999997</v>
      </c>
      <c r="X70" s="97">
        <v>1281</v>
      </c>
      <c r="Y70" s="79">
        <v>30</v>
      </c>
      <c r="Z70" s="99">
        <v>34.4</v>
      </c>
      <c r="AA70" s="97">
        <v>67</v>
      </c>
      <c r="AB70" s="79">
        <v>8.8000000000000007</v>
      </c>
      <c r="AC70" s="182">
        <v>8.5</v>
      </c>
      <c r="AF70" s="75">
        <v>4</v>
      </c>
      <c r="AG70" s="76" t="s">
        <v>403</v>
      </c>
      <c r="AH70" s="76">
        <v>3871</v>
      </c>
      <c r="AI70" s="76">
        <v>39.6</v>
      </c>
      <c r="AJ70" s="76">
        <v>25.6</v>
      </c>
      <c r="AK70" s="76">
        <v>1643</v>
      </c>
      <c r="AL70" s="76">
        <v>34.700000000000003</v>
      </c>
      <c r="AM70" s="76">
        <v>22.3</v>
      </c>
      <c r="AN70" s="76">
        <v>2095</v>
      </c>
      <c r="AO70" s="76">
        <v>49</v>
      </c>
      <c r="AP70" s="76">
        <v>33.299999999999997</v>
      </c>
      <c r="AQ70" s="76">
        <v>133</v>
      </c>
      <c r="AR70" s="76">
        <v>17.5</v>
      </c>
      <c r="AS70" s="76">
        <v>8.3000000000000007</v>
      </c>
    </row>
    <row r="71" spans="2:45">
      <c r="B71" s="1"/>
      <c r="C71" s="241"/>
      <c r="D71" s="86" t="s">
        <v>21</v>
      </c>
      <c r="E71" s="100">
        <v>3738</v>
      </c>
      <c r="F71" s="80">
        <v>41.5</v>
      </c>
      <c r="G71" s="101">
        <v>27.3</v>
      </c>
      <c r="H71" s="100">
        <v>1643</v>
      </c>
      <c r="I71" s="80">
        <v>34.700000000000003</v>
      </c>
      <c r="J71" s="101">
        <v>22.3</v>
      </c>
      <c r="K71" s="100">
        <v>2095</v>
      </c>
      <c r="L71" s="80">
        <v>49</v>
      </c>
      <c r="M71" s="101">
        <v>33.299999999999997</v>
      </c>
      <c r="N71" s="254"/>
      <c r="O71" s="1"/>
      <c r="P71" s="241"/>
      <c r="Q71" s="86" t="s">
        <v>403</v>
      </c>
      <c r="R71" s="100">
        <v>3871</v>
      </c>
      <c r="S71" s="80">
        <v>39.6</v>
      </c>
      <c r="T71" s="101">
        <v>25.6</v>
      </c>
      <c r="U71" s="100">
        <v>1643</v>
      </c>
      <c r="V71" s="80">
        <v>34.700000000000003</v>
      </c>
      <c r="W71" s="101">
        <v>22.3</v>
      </c>
      <c r="X71" s="100">
        <v>2095</v>
      </c>
      <c r="Y71" s="80">
        <v>49</v>
      </c>
      <c r="Z71" s="101">
        <v>33.299999999999997</v>
      </c>
      <c r="AA71" s="100">
        <v>133</v>
      </c>
      <c r="AB71" s="80">
        <v>17.5</v>
      </c>
      <c r="AC71" s="183">
        <v>8.3000000000000007</v>
      </c>
    </row>
    <row r="72" spans="2:45">
      <c r="B72" s="1"/>
      <c r="C72" s="239" t="s">
        <v>6</v>
      </c>
      <c r="D72" s="87" t="s">
        <v>14</v>
      </c>
      <c r="E72" s="102">
        <v>4033</v>
      </c>
      <c r="F72" s="78">
        <v>44.8</v>
      </c>
      <c r="G72" s="103">
        <v>49.6</v>
      </c>
      <c r="H72" s="111">
        <v>2081</v>
      </c>
      <c r="I72" s="78">
        <v>43.9</v>
      </c>
      <c r="J72" s="103">
        <v>49.2</v>
      </c>
      <c r="K72" s="111">
        <v>1952</v>
      </c>
      <c r="L72" s="78">
        <v>45.7</v>
      </c>
      <c r="M72" s="103">
        <v>50.1</v>
      </c>
      <c r="N72" s="252">
        <v>0.1</v>
      </c>
      <c r="O72" s="1"/>
      <c r="P72" s="239" t="s">
        <v>6</v>
      </c>
      <c r="Q72" s="87" t="s">
        <v>14</v>
      </c>
      <c r="R72" s="102">
        <v>4381</v>
      </c>
      <c r="S72" s="78">
        <v>44.8</v>
      </c>
      <c r="T72" s="103">
        <v>49.7</v>
      </c>
      <c r="U72" s="111">
        <v>2081</v>
      </c>
      <c r="V72" s="78">
        <v>43.9</v>
      </c>
      <c r="W72" s="103">
        <v>49.2</v>
      </c>
      <c r="X72" s="111">
        <v>1952</v>
      </c>
      <c r="Y72" s="78">
        <v>45.7</v>
      </c>
      <c r="Z72" s="103">
        <v>50.1</v>
      </c>
      <c r="AA72" s="111">
        <v>348</v>
      </c>
      <c r="AB72" s="78">
        <v>45.8</v>
      </c>
      <c r="AC72" s="184">
        <v>50.2</v>
      </c>
      <c r="AF72" s="75">
        <v>1</v>
      </c>
      <c r="AG72" s="76" t="s">
        <v>14</v>
      </c>
      <c r="AH72" s="76">
        <v>4381</v>
      </c>
      <c r="AI72" s="76">
        <v>44.8</v>
      </c>
      <c r="AJ72" s="76">
        <v>49.7</v>
      </c>
      <c r="AK72" s="76">
        <v>2081</v>
      </c>
      <c r="AL72" s="76">
        <v>43.9</v>
      </c>
      <c r="AM72" s="76">
        <v>49.2</v>
      </c>
      <c r="AN72" s="76">
        <v>1952</v>
      </c>
      <c r="AO72" s="76">
        <v>45.7</v>
      </c>
      <c r="AP72" s="76">
        <v>50.1</v>
      </c>
      <c r="AQ72" s="76">
        <v>348</v>
      </c>
      <c r="AR72" s="76">
        <v>45.8</v>
      </c>
      <c r="AS72" s="76">
        <v>50.2</v>
      </c>
    </row>
    <row r="73" spans="2:45">
      <c r="B73" s="1"/>
      <c r="C73" s="241"/>
      <c r="D73" s="86" t="s">
        <v>15</v>
      </c>
      <c r="E73" s="100">
        <v>4979</v>
      </c>
      <c r="F73" s="80">
        <v>55.2</v>
      </c>
      <c r="G73" s="101">
        <v>50.4</v>
      </c>
      <c r="H73" s="112">
        <v>2657</v>
      </c>
      <c r="I73" s="80">
        <v>56.1</v>
      </c>
      <c r="J73" s="101">
        <v>50.8</v>
      </c>
      <c r="K73" s="112">
        <v>2322</v>
      </c>
      <c r="L73" s="80">
        <v>54.3</v>
      </c>
      <c r="M73" s="101">
        <v>49.9</v>
      </c>
      <c r="N73" s="254"/>
      <c r="O73" s="1"/>
      <c r="P73" s="241"/>
      <c r="Q73" s="86" t="s">
        <v>15</v>
      </c>
      <c r="R73" s="100">
        <v>5390</v>
      </c>
      <c r="S73" s="80">
        <v>55.2</v>
      </c>
      <c r="T73" s="101">
        <v>50.3</v>
      </c>
      <c r="U73" s="112">
        <v>2657</v>
      </c>
      <c r="V73" s="80">
        <v>56.1</v>
      </c>
      <c r="W73" s="101">
        <v>50.8</v>
      </c>
      <c r="X73" s="112">
        <v>2322</v>
      </c>
      <c r="Y73" s="80">
        <v>54.3</v>
      </c>
      <c r="Z73" s="101">
        <v>49.9</v>
      </c>
      <c r="AA73" s="112">
        <v>411</v>
      </c>
      <c r="AB73" s="80">
        <v>54.2</v>
      </c>
      <c r="AC73" s="183">
        <v>49.8</v>
      </c>
      <c r="AF73" s="75">
        <v>2</v>
      </c>
      <c r="AG73" s="76" t="s">
        <v>15</v>
      </c>
      <c r="AH73" s="76">
        <v>5390</v>
      </c>
      <c r="AI73" s="76">
        <v>55.2</v>
      </c>
      <c r="AJ73" s="76">
        <v>50.3</v>
      </c>
      <c r="AK73" s="76">
        <v>2657</v>
      </c>
      <c r="AL73" s="76">
        <v>56.1</v>
      </c>
      <c r="AM73" s="76">
        <v>50.8</v>
      </c>
      <c r="AN73" s="76">
        <v>2322</v>
      </c>
      <c r="AO73" s="76">
        <v>54.3</v>
      </c>
      <c r="AP73" s="76">
        <v>49.9</v>
      </c>
      <c r="AQ73" s="76">
        <v>411</v>
      </c>
      <c r="AR73" s="76">
        <v>54.2</v>
      </c>
      <c r="AS73" s="76">
        <v>49.8</v>
      </c>
    </row>
    <row r="74" spans="2:45">
      <c r="B74" s="1"/>
      <c r="C74" s="239" t="s">
        <v>80</v>
      </c>
      <c r="D74" s="87" t="s">
        <v>77</v>
      </c>
      <c r="E74" s="102">
        <v>468</v>
      </c>
      <c r="F74" s="78">
        <v>5.2</v>
      </c>
      <c r="G74" s="103">
        <v>5.7</v>
      </c>
      <c r="H74" s="113">
        <v>234</v>
      </c>
      <c r="I74" s="78">
        <v>4.9000000000000004</v>
      </c>
      <c r="J74" s="103">
        <v>5.5</v>
      </c>
      <c r="K74" s="113">
        <v>234</v>
      </c>
      <c r="L74" s="78">
        <v>5.5</v>
      </c>
      <c r="M74" s="103">
        <v>5.9</v>
      </c>
      <c r="N74" s="255">
        <v>0.45</v>
      </c>
      <c r="O74" s="1"/>
      <c r="P74" s="239" t="s">
        <v>80</v>
      </c>
      <c r="Q74" s="87" t="s">
        <v>77</v>
      </c>
      <c r="R74" s="102">
        <v>718</v>
      </c>
      <c r="S74" s="78">
        <v>7.3</v>
      </c>
      <c r="T74" s="103">
        <v>8.5</v>
      </c>
      <c r="U74" s="113">
        <v>234</v>
      </c>
      <c r="V74" s="78">
        <v>4.9000000000000004</v>
      </c>
      <c r="W74" s="103">
        <v>5.5</v>
      </c>
      <c r="X74" s="113">
        <v>234</v>
      </c>
      <c r="Y74" s="78">
        <v>5.5</v>
      </c>
      <c r="Z74" s="103">
        <v>5.9</v>
      </c>
      <c r="AA74" s="113">
        <v>250</v>
      </c>
      <c r="AB74" s="78">
        <v>32.9</v>
      </c>
      <c r="AC74" s="184">
        <v>35.799999999999997</v>
      </c>
      <c r="AF74" s="75">
        <v>1</v>
      </c>
      <c r="AG74" s="76" t="s">
        <v>77</v>
      </c>
      <c r="AH74" s="76">
        <v>718</v>
      </c>
      <c r="AI74" s="76">
        <v>7.3</v>
      </c>
      <c r="AJ74" s="76">
        <v>8.5</v>
      </c>
      <c r="AK74" s="76">
        <v>234</v>
      </c>
      <c r="AL74" s="76">
        <v>4.9000000000000004</v>
      </c>
      <c r="AM74" s="76">
        <v>5.5</v>
      </c>
      <c r="AN74" s="76">
        <v>234</v>
      </c>
      <c r="AO74" s="76">
        <v>5.5</v>
      </c>
      <c r="AP74" s="76">
        <v>5.9</v>
      </c>
      <c r="AQ74" s="76">
        <v>250</v>
      </c>
      <c r="AR74" s="76">
        <v>32.9</v>
      </c>
      <c r="AS74" s="76">
        <v>35.799999999999997</v>
      </c>
    </row>
    <row r="75" spans="2:45">
      <c r="B75" s="1"/>
      <c r="C75" s="240"/>
      <c r="D75" s="85" t="s">
        <v>78</v>
      </c>
      <c r="E75" s="97">
        <v>5661</v>
      </c>
      <c r="F75" s="79">
        <v>62.8</v>
      </c>
      <c r="G75" s="99">
        <v>61.5</v>
      </c>
      <c r="H75" s="114">
        <v>2994</v>
      </c>
      <c r="I75" s="79">
        <v>63.2</v>
      </c>
      <c r="J75" s="99">
        <v>62.3</v>
      </c>
      <c r="K75" s="114">
        <v>2667</v>
      </c>
      <c r="L75" s="79">
        <v>62.4</v>
      </c>
      <c r="M75" s="99">
        <v>60.5</v>
      </c>
      <c r="N75" s="256"/>
      <c r="O75" s="1"/>
      <c r="P75" s="240"/>
      <c r="Q75" s="85" t="s">
        <v>78</v>
      </c>
      <c r="R75" s="97">
        <v>6046</v>
      </c>
      <c r="S75" s="79">
        <v>61.9</v>
      </c>
      <c r="T75" s="99">
        <v>60.4</v>
      </c>
      <c r="U75" s="114">
        <v>2994</v>
      </c>
      <c r="V75" s="79">
        <v>63.2</v>
      </c>
      <c r="W75" s="99">
        <v>62.3</v>
      </c>
      <c r="X75" s="114">
        <v>2667</v>
      </c>
      <c r="Y75" s="79">
        <v>62.4</v>
      </c>
      <c r="Z75" s="99">
        <v>60.5</v>
      </c>
      <c r="AA75" s="114">
        <v>385</v>
      </c>
      <c r="AB75" s="79">
        <v>50.7</v>
      </c>
      <c r="AC75" s="182">
        <v>49.5</v>
      </c>
      <c r="AF75" s="75">
        <v>2</v>
      </c>
      <c r="AG75" s="76" t="s">
        <v>78</v>
      </c>
      <c r="AH75" s="76">
        <v>6046</v>
      </c>
      <c r="AI75" s="76">
        <v>61.9</v>
      </c>
      <c r="AJ75" s="76">
        <v>60.4</v>
      </c>
      <c r="AK75" s="76">
        <v>2994</v>
      </c>
      <c r="AL75" s="76">
        <v>63.2</v>
      </c>
      <c r="AM75" s="76">
        <v>62.3</v>
      </c>
      <c r="AN75" s="76">
        <v>2667</v>
      </c>
      <c r="AO75" s="76">
        <v>62.4</v>
      </c>
      <c r="AP75" s="76">
        <v>60.5</v>
      </c>
      <c r="AQ75" s="76">
        <v>385</v>
      </c>
      <c r="AR75" s="76">
        <v>50.7</v>
      </c>
      <c r="AS75" s="76">
        <v>49.5</v>
      </c>
    </row>
    <row r="76" spans="2:45">
      <c r="B76" s="1"/>
      <c r="C76" s="241"/>
      <c r="D76" s="86" t="s">
        <v>79</v>
      </c>
      <c r="E76" s="100">
        <v>2752</v>
      </c>
      <c r="F76" s="80">
        <v>30.5</v>
      </c>
      <c r="G76" s="101">
        <v>31</v>
      </c>
      <c r="H76" s="115">
        <v>1438</v>
      </c>
      <c r="I76" s="80">
        <v>30.4</v>
      </c>
      <c r="J76" s="101">
        <v>30.3</v>
      </c>
      <c r="K76" s="115">
        <v>1314</v>
      </c>
      <c r="L76" s="80">
        <v>30.7</v>
      </c>
      <c r="M76" s="101">
        <v>31.9</v>
      </c>
      <c r="N76" s="257"/>
      <c r="O76" s="1"/>
      <c r="P76" s="241"/>
      <c r="Q76" s="86" t="s">
        <v>79</v>
      </c>
      <c r="R76" s="100">
        <v>2866</v>
      </c>
      <c r="S76" s="80">
        <v>29.3</v>
      </c>
      <c r="T76" s="101">
        <v>29.4</v>
      </c>
      <c r="U76" s="115">
        <v>1438</v>
      </c>
      <c r="V76" s="80">
        <v>30.4</v>
      </c>
      <c r="W76" s="101">
        <v>30.3</v>
      </c>
      <c r="X76" s="115">
        <v>1314</v>
      </c>
      <c r="Y76" s="80">
        <v>30.7</v>
      </c>
      <c r="Z76" s="101">
        <v>31.9</v>
      </c>
      <c r="AA76" s="115">
        <v>114</v>
      </c>
      <c r="AB76" s="80">
        <v>15</v>
      </c>
      <c r="AC76" s="183">
        <v>13</v>
      </c>
      <c r="AF76" s="75">
        <v>3</v>
      </c>
      <c r="AG76" s="76" t="s">
        <v>79</v>
      </c>
      <c r="AH76" s="76">
        <v>2866</v>
      </c>
      <c r="AI76" s="76">
        <v>29.3</v>
      </c>
      <c r="AJ76" s="76">
        <v>29.4</v>
      </c>
      <c r="AK76" s="76">
        <v>1438</v>
      </c>
      <c r="AL76" s="76">
        <v>30.4</v>
      </c>
      <c r="AM76" s="76">
        <v>30.3</v>
      </c>
      <c r="AN76" s="76">
        <v>1314</v>
      </c>
      <c r="AO76" s="76">
        <v>30.7</v>
      </c>
      <c r="AP76" s="76">
        <v>31.9</v>
      </c>
      <c r="AQ76" s="76">
        <v>114</v>
      </c>
      <c r="AR76" s="76">
        <v>15</v>
      </c>
      <c r="AS76" s="76">
        <v>13</v>
      </c>
    </row>
    <row r="77" spans="2:45" ht="15.95" customHeight="1">
      <c r="B77" s="1"/>
      <c r="C77" s="239" t="s">
        <v>396</v>
      </c>
      <c r="D77" s="87" t="s">
        <v>93</v>
      </c>
      <c r="E77" s="102">
        <v>5196</v>
      </c>
      <c r="F77" s="78">
        <v>57.7</v>
      </c>
      <c r="G77" s="103">
        <v>66.599999999999994</v>
      </c>
      <c r="H77" s="111">
        <v>2966</v>
      </c>
      <c r="I77" s="78">
        <v>62.6</v>
      </c>
      <c r="J77" s="103">
        <v>70.599999999999994</v>
      </c>
      <c r="K77" s="111">
        <v>2230</v>
      </c>
      <c r="L77" s="78">
        <v>52.2</v>
      </c>
      <c r="M77" s="103">
        <v>61.7</v>
      </c>
      <c r="N77" s="252">
        <v>0</v>
      </c>
      <c r="O77" s="1"/>
      <c r="P77" s="239" t="s">
        <v>396</v>
      </c>
      <c r="Q77" s="87" t="s">
        <v>93</v>
      </c>
      <c r="R77" s="102">
        <v>5811</v>
      </c>
      <c r="S77" s="78">
        <v>59.5</v>
      </c>
      <c r="T77" s="103">
        <v>68.599999999999994</v>
      </c>
      <c r="U77" s="111">
        <v>2966</v>
      </c>
      <c r="V77" s="78">
        <v>62.6</v>
      </c>
      <c r="W77" s="103">
        <v>70.599999999999994</v>
      </c>
      <c r="X77" s="111">
        <v>2230</v>
      </c>
      <c r="Y77" s="78">
        <v>52.2</v>
      </c>
      <c r="Z77" s="103">
        <v>61.7</v>
      </c>
      <c r="AA77" s="111">
        <v>615</v>
      </c>
      <c r="AB77" s="78">
        <v>81</v>
      </c>
      <c r="AC77" s="184">
        <v>88.7</v>
      </c>
      <c r="AF77" s="75">
        <v>1</v>
      </c>
      <c r="AG77" s="76" t="s">
        <v>405</v>
      </c>
      <c r="AH77" s="76">
        <v>5811</v>
      </c>
      <c r="AI77" s="76">
        <v>59.5</v>
      </c>
      <c r="AJ77" s="76">
        <v>68.599999999999994</v>
      </c>
      <c r="AK77" s="76">
        <v>2966</v>
      </c>
      <c r="AL77" s="76">
        <v>62.6</v>
      </c>
      <c r="AM77" s="76">
        <v>70.599999999999994</v>
      </c>
      <c r="AN77" s="76">
        <v>2230</v>
      </c>
      <c r="AO77" s="76">
        <v>52.2</v>
      </c>
      <c r="AP77" s="76">
        <v>61.7</v>
      </c>
      <c r="AQ77" s="76">
        <v>615</v>
      </c>
      <c r="AR77" s="76">
        <v>81</v>
      </c>
      <c r="AS77" s="76">
        <v>88.7</v>
      </c>
    </row>
    <row r="78" spans="2:45">
      <c r="B78" s="1"/>
      <c r="C78" s="240"/>
      <c r="D78" s="88">
        <v>1</v>
      </c>
      <c r="E78" s="97">
        <v>1790</v>
      </c>
      <c r="F78" s="79">
        <v>19.899999999999999</v>
      </c>
      <c r="G78" s="99">
        <v>16.5</v>
      </c>
      <c r="H78" s="116">
        <v>857</v>
      </c>
      <c r="I78" s="79">
        <v>18.100000000000001</v>
      </c>
      <c r="J78" s="99">
        <v>14.8</v>
      </c>
      <c r="K78" s="116">
        <v>933</v>
      </c>
      <c r="L78" s="79">
        <v>21.8</v>
      </c>
      <c r="M78" s="99">
        <v>18.5</v>
      </c>
      <c r="N78" s="253"/>
      <c r="O78" s="1"/>
      <c r="P78" s="240"/>
      <c r="Q78" s="88">
        <v>1</v>
      </c>
      <c r="R78" s="97">
        <v>1860</v>
      </c>
      <c r="S78" s="79">
        <v>19</v>
      </c>
      <c r="T78" s="99">
        <v>15.6</v>
      </c>
      <c r="U78" s="116">
        <v>857</v>
      </c>
      <c r="V78" s="79">
        <v>18.100000000000001</v>
      </c>
      <c r="W78" s="99">
        <v>14.8</v>
      </c>
      <c r="X78" s="116">
        <v>933</v>
      </c>
      <c r="Y78" s="79">
        <v>21.8</v>
      </c>
      <c r="Z78" s="99">
        <v>18.5</v>
      </c>
      <c r="AA78" s="116">
        <v>70</v>
      </c>
      <c r="AB78" s="79">
        <v>9.1999999999999993</v>
      </c>
      <c r="AC78" s="182">
        <v>6.6</v>
      </c>
      <c r="AF78" s="75">
        <v>2</v>
      </c>
      <c r="AG78" s="76">
        <v>1</v>
      </c>
      <c r="AH78" s="76">
        <v>1860</v>
      </c>
      <c r="AI78" s="76">
        <v>19</v>
      </c>
      <c r="AJ78" s="76">
        <v>15.6</v>
      </c>
      <c r="AK78" s="76">
        <v>857</v>
      </c>
      <c r="AL78" s="76">
        <v>18.100000000000001</v>
      </c>
      <c r="AM78" s="76">
        <v>14.8</v>
      </c>
      <c r="AN78" s="76">
        <v>933</v>
      </c>
      <c r="AO78" s="76">
        <v>21.8</v>
      </c>
      <c r="AP78" s="76">
        <v>18.5</v>
      </c>
      <c r="AQ78" s="76">
        <v>70</v>
      </c>
      <c r="AR78" s="76">
        <v>9.1999999999999993</v>
      </c>
      <c r="AS78" s="76">
        <v>6.6</v>
      </c>
    </row>
    <row r="79" spans="2:45">
      <c r="B79" s="1"/>
      <c r="C79" s="240"/>
      <c r="D79" s="88">
        <v>2</v>
      </c>
      <c r="E79" s="97">
        <v>1207</v>
      </c>
      <c r="F79" s="79">
        <v>13.4</v>
      </c>
      <c r="G79" s="99">
        <v>10.3</v>
      </c>
      <c r="H79" s="116">
        <v>566</v>
      </c>
      <c r="I79" s="79">
        <v>11.9</v>
      </c>
      <c r="J79" s="99">
        <v>9.1</v>
      </c>
      <c r="K79" s="116">
        <v>641</v>
      </c>
      <c r="L79" s="79">
        <v>15</v>
      </c>
      <c r="M79" s="99">
        <v>11.7</v>
      </c>
      <c r="N79" s="253"/>
      <c r="O79" s="1"/>
      <c r="P79" s="240"/>
      <c r="Q79" s="88">
        <v>2</v>
      </c>
      <c r="R79" s="97">
        <v>1246</v>
      </c>
      <c r="S79" s="79">
        <v>12.8</v>
      </c>
      <c r="T79" s="99">
        <v>9.6</v>
      </c>
      <c r="U79" s="116">
        <v>566</v>
      </c>
      <c r="V79" s="79">
        <v>11.9</v>
      </c>
      <c r="W79" s="99">
        <v>9.1</v>
      </c>
      <c r="X79" s="116">
        <v>641</v>
      </c>
      <c r="Y79" s="79">
        <v>15</v>
      </c>
      <c r="Z79" s="99">
        <v>11.7</v>
      </c>
      <c r="AA79" s="116">
        <v>39</v>
      </c>
      <c r="AB79" s="79">
        <v>5.0999999999999996</v>
      </c>
      <c r="AC79" s="182">
        <v>2.5</v>
      </c>
      <c r="AF79" s="75">
        <v>3</v>
      </c>
      <c r="AG79" s="76">
        <v>2</v>
      </c>
      <c r="AH79" s="76">
        <v>1246</v>
      </c>
      <c r="AI79" s="76">
        <v>12.8</v>
      </c>
      <c r="AJ79" s="76">
        <v>9.6</v>
      </c>
      <c r="AK79" s="76">
        <v>566</v>
      </c>
      <c r="AL79" s="76">
        <v>11.9</v>
      </c>
      <c r="AM79" s="76">
        <v>9.1</v>
      </c>
      <c r="AN79" s="76">
        <v>641</v>
      </c>
      <c r="AO79" s="76">
        <v>15</v>
      </c>
      <c r="AP79" s="76">
        <v>11.7</v>
      </c>
      <c r="AQ79" s="76">
        <v>39</v>
      </c>
      <c r="AR79" s="76">
        <v>5.0999999999999996</v>
      </c>
      <c r="AS79" s="76">
        <v>2.5</v>
      </c>
    </row>
    <row r="80" spans="2:45">
      <c r="B80" s="1"/>
      <c r="C80" s="241"/>
      <c r="D80" s="89" t="s">
        <v>94</v>
      </c>
      <c r="E80" s="100">
        <v>819</v>
      </c>
      <c r="F80" s="80">
        <v>9.1</v>
      </c>
      <c r="G80" s="101">
        <v>6.6</v>
      </c>
      <c r="H80" s="112">
        <v>349</v>
      </c>
      <c r="I80" s="80">
        <v>7.4</v>
      </c>
      <c r="J80" s="101">
        <v>5.4</v>
      </c>
      <c r="K80" s="112">
        <v>470</v>
      </c>
      <c r="L80" s="80">
        <v>11</v>
      </c>
      <c r="M80" s="101">
        <v>8.1</v>
      </c>
      <c r="N80" s="254"/>
      <c r="O80" s="1"/>
      <c r="P80" s="241"/>
      <c r="Q80" s="89" t="s">
        <v>406</v>
      </c>
      <c r="R80" s="100">
        <v>854</v>
      </c>
      <c r="S80" s="80">
        <v>8.6999999999999993</v>
      </c>
      <c r="T80" s="101">
        <v>6.2</v>
      </c>
      <c r="U80" s="112">
        <v>349</v>
      </c>
      <c r="V80" s="80">
        <v>7.4</v>
      </c>
      <c r="W80" s="101">
        <v>5.4</v>
      </c>
      <c r="X80" s="112">
        <v>470</v>
      </c>
      <c r="Y80" s="80">
        <v>11</v>
      </c>
      <c r="Z80" s="101">
        <v>8.1</v>
      </c>
      <c r="AA80" s="112">
        <v>35</v>
      </c>
      <c r="AB80" s="80">
        <v>4.5999999999999996</v>
      </c>
      <c r="AC80" s="183">
        <v>2.1</v>
      </c>
      <c r="AF80" s="75">
        <v>4</v>
      </c>
      <c r="AG80" s="76" t="s">
        <v>406</v>
      </c>
      <c r="AH80" s="76">
        <v>854</v>
      </c>
      <c r="AI80" s="76">
        <v>8.6999999999999993</v>
      </c>
      <c r="AJ80" s="76">
        <v>6.2</v>
      </c>
      <c r="AK80" s="76">
        <v>349</v>
      </c>
      <c r="AL80" s="76">
        <v>7.4</v>
      </c>
      <c r="AM80" s="76">
        <v>5.4</v>
      </c>
      <c r="AN80" s="76">
        <v>470</v>
      </c>
      <c r="AO80" s="76">
        <v>11</v>
      </c>
      <c r="AP80" s="76">
        <v>8.1</v>
      </c>
      <c r="AQ80" s="76">
        <v>35</v>
      </c>
      <c r="AR80" s="76">
        <v>4.5999999999999996</v>
      </c>
      <c r="AS80" s="76">
        <v>2.1</v>
      </c>
    </row>
    <row r="81" spans="2:47" ht="15.95" customHeight="1">
      <c r="B81" s="1"/>
      <c r="C81" s="239" t="s">
        <v>395</v>
      </c>
      <c r="D81" s="90" t="s">
        <v>7</v>
      </c>
      <c r="E81" s="102">
        <v>1077</v>
      </c>
      <c r="F81" s="78">
        <v>12</v>
      </c>
      <c r="G81" s="103">
        <v>11.1</v>
      </c>
      <c r="H81" s="113">
        <v>575</v>
      </c>
      <c r="I81" s="78">
        <v>12.1</v>
      </c>
      <c r="J81" s="103">
        <v>11.2</v>
      </c>
      <c r="K81" s="113">
        <v>502</v>
      </c>
      <c r="L81" s="78">
        <v>11.7</v>
      </c>
      <c r="M81" s="103">
        <v>11</v>
      </c>
      <c r="N81" s="252">
        <v>0</v>
      </c>
      <c r="O81" s="1"/>
      <c r="P81" s="239" t="s">
        <v>395</v>
      </c>
      <c r="Q81" s="90" t="s">
        <v>407</v>
      </c>
      <c r="R81" s="102">
        <v>1123</v>
      </c>
      <c r="S81" s="78">
        <v>11.5</v>
      </c>
      <c r="T81" s="103">
        <v>10.7</v>
      </c>
      <c r="U81" s="113">
        <v>575</v>
      </c>
      <c r="V81" s="78">
        <v>12.1</v>
      </c>
      <c r="W81" s="103">
        <v>11.2</v>
      </c>
      <c r="X81" s="113">
        <v>502</v>
      </c>
      <c r="Y81" s="78">
        <v>11.7</v>
      </c>
      <c r="Z81" s="103">
        <v>11</v>
      </c>
      <c r="AA81" s="113">
        <v>46</v>
      </c>
      <c r="AB81" s="78">
        <v>6.1</v>
      </c>
      <c r="AC81" s="184">
        <v>6.9</v>
      </c>
      <c r="AG81" s="75">
        <v>1</v>
      </c>
      <c r="AH81" s="76" t="s">
        <v>407</v>
      </c>
      <c r="AI81" s="76">
        <v>1123</v>
      </c>
      <c r="AJ81" s="76">
        <v>11.5</v>
      </c>
      <c r="AK81" s="76">
        <v>10.7</v>
      </c>
      <c r="AL81" s="76">
        <v>575</v>
      </c>
      <c r="AM81" s="76">
        <v>12.1</v>
      </c>
      <c r="AN81" s="76">
        <v>11.2</v>
      </c>
      <c r="AO81" s="76">
        <v>502</v>
      </c>
      <c r="AP81" s="76">
        <v>11.7</v>
      </c>
      <c r="AQ81" s="76">
        <v>11</v>
      </c>
      <c r="AR81" s="76">
        <v>46</v>
      </c>
      <c r="AS81" s="76">
        <v>6.1</v>
      </c>
      <c r="AT81" s="76">
        <v>6.9</v>
      </c>
    </row>
    <row r="82" spans="2:47">
      <c r="B82" s="1"/>
      <c r="C82" s="240"/>
      <c r="D82" s="91" t="s">
        <v>8</v>
      </c>
      <c r="E82" s="97">
        <v>4449</v>
      </c>
      <c r="F82" s="79">
        <v>49.4</v>
      </c>
      <c r="G82" s="99">
        <v>46.5</v>
      </c>
      <c r="H82" s="114">
        <v>3045</v>
      </c>
      <c r="I82" s="79">
        <v>64.3</v>
      </c>
      <c r="J82" s="99">
        <v>63.6</v>
      </c>
      <c r="K82" s="114">
        <v>1404</v>
      </c>
      <c r="L82" s="79">
        <v>32.799999999999997</v>
      </c>
      <c r="M82" s="99">
        <v>25.6</v>
      </c>
      <c r="N82" s="253"/>
      <c r="O82" s="1"/>
      <c r="P82" s="240"/>
      <c r="Q82" s="91" t="s">
        <v>408</v>
      </c>
      <c r="R82" s="97">
        <v>4857</v>
      </c>
      <c r="S82" s="79">
        <v>49.7</v>
      </c>
      <c r="T82" s="99">
        <v>47.6</v>
      </c>
      <c r="U82" s="114">
        <v>3045</v>
      </c>
      <c r="V82" s="79">
        <v>64.3</v>
      </c>
      <c r="W82" s="99">
        <v>63.6</v>
      </c>
      <c r="X82" s="114">
        <v>1404</v>
      </c>
      <c r="Y82" s="79">
        <v>32.799999999999997</v>
      </c>
      <c r="Z82" s="99">
        <v>25.6</v>
      </c>
      <c r="AA82" s="114">
        <v>408</v>
      </c>
      <c r="AB82" s="79">
        <v>53.8</v>
      </c>
      <c r="AC82" s="182">
        <v>58.8</v>
      </c>
      <c r="AG82" s="75">
        <v>2</v>
      </c>
      <c r="AH82" s="76" t="s">
        <v>408</v>
      </c>
      <c r="AI82" s="76">
        <v>4857</v>
      </c>
      <c r="AJ82" s="76">
        <v>49.7</v>
      </c>
      <c r="AK82" s="76">
        <v>47.6</v>
      </c>
      <c r="AL82" s="76">
        <v>3045</v>
      </c>
      <c r="AM82" s="76">
        <v>64.3</v>
      </c>
      <c r="AN82" s="76">
        <v>63.6</v>
      </c>
      <c r="AO82" s="76">
        <v>1404</v>
      </c>
      <c r="AP82" s="76">
        <v>32.799999999999997</v>
      </c>
      <c r="AQ82" s="76">
        <v>25.6</v>
      </c>
      <c r="AR82" s="76">
        <v>408</v>
      </c>
      <c r="AS82" s="76">
        <v>53.8</v>
      </c>
      <c r="AT82" s="76">
        <v>58.8</v>
      </c>
    </row>
    <row r="83" spans="2:47">
      <c r="B83" s="1"/>
      <c r="C83" s="240"/>
      <c r="D83" s="85" t="s">
        <v>9</v>
      </c>
      <c r="E83" s="97">
        <v>3460</v>
      </c>
      <c r="F83" s="79">
        <v>38.4</v>
      </c>
      <c r="G83" s="99">
        <v>42.1</v>
      </c>
      <c r="H83" s="114">
        <v>1112</v>
      </c>
      <c r="I83" s="79">
        <v>23.5</v>
      </c>
      <c r="J83" s="99">
        <v>25.1</v>
      </c>
      <c r="K83" s="114">
        <v>2348</v>
      </c>
      <c r="L83" s="79">
        <v>54.9</v>
      </c>
      <c r="M83" s="99">
        <v>63</v>
      </c>
      <c r="N83" s="253"/>
      <c r="O83" s="1"/>
      <c r="P83" s="240"/>
      <c r="Q83" s="85" t="s">
        <v>409</v>
      </c>
      <c r="R83" s="97">
        <v>3498</v>
      </c>
      <c r="S83" s="79">
        <v>35.799999999999997</v>
      </c>
      <c r="T83" s="99">
        <v>38.9</v>
      </c>
      <c r="U83" s="114">
        <v>1112</v>
      </c>
      <c r="V83" s="79">
        <v>23.5</v>
      </c>
      <c r="W83" s="99">
        <v>25.1</v>
      </c>
      <c r="X83" s="114">
        <v>2348</v>
      </c>
      <c r="Y83" s="79">
        <v>54.9</v>
      </c>
      <c r="Z83" s="99">
        <v>63</v>
      </c>
      <c r="AA83" s="114">
        <v>38</v>
      </c>
      <c r="AB83" s="79">
        <v>5</v>
      </c>
      <c r="AC83" s="182">
        <v>6.3</v>
      </c>
      <c r="AG83" s="75">
        <v>3</v>
      </c>
      <c r="AH83" s="76" t="s">
        <v>409</v>
      </c>
      <c r="AI83" s="76">
        <v>3498</v>
      </c>
      <c r="AJ83" s="76">
        <v>35.799999999999997</v>
      </c>
      <c r="AK83" s="76">
        <v>38.9</v>
      </c>
      <c r="AL83" s="76">
        <v>1112</v>
      </c>
      <c r="AM83" s="76">
        <v>23.5</v>
      </c>
      <c r="AN83" s="76">
        <v>25.1</v>
      </c>
      <c r="AO83" s="76">
        <v>2348</v>
      </c>
      <c r="AP83" s="76">
        <v>54.9</v>
      </c>
      <c r="AQ83" s="76">
        <v>63</v>
      </c>
      <c r="AR83" s="76">
        <v>38</v>
      </c>
      <c r="AS83" s="76">
        <v>5</v>
      </c>
      <c r="AT83" s="76">
        <v>6.3</v>
      </c>
    </row>
    <row r="84" spans="2:47">
      <c r="B84" s="1"/>
      <c r="C84" s="241"/>
      <c r="D84" s="86" t="s">
        <v>10</v>
      </c>
      <c r="E84" s="100">
        <v>26</v>
      </c>
      <c r="F84" s="80">
        <v>0.3</v>
      </c>
      <c r="G84" s="101">
        <v>0.3</v>
      </c>
      <c r="H84" s="115">
        <v>6</v>
      </c>
      <c r="I84" s="80">
        <v>0.1</v>
      </c>
      <c r="J84" s="101">
        <v>0.1</v>
      </c>
      <c r="K84" s="115">
        <v>20</v>
      </c>
      <c r="L84" s="80">
        <v>0.5</v>
      </c>
      <c r="M84" s="101">
        <v>0.5</v>
      </c>
      <c r="N84" s="254"/>
      <c r="O84" s="1"/>
      <c r="P84" s="240"/>
      <c r="Q84" s="85" t="s">
        <v>410</v>
      </c>
      <c r="R84" s="97">
        <v>26</v>
      </c>
      <c r="S84" s="79">
        <v>0.3</v>
      </c>
      <c r="T84" s="99">
        <v>0.3</v>
      </c>
      <c r="U84" s="114">
        <v>6</v>
      </c>
      <c r="V84" s="79">
        <v>0.1</v>
      </c>
      <c r="W84" s="99">
        <v>0.1</v>
      </c>
      <c r="X84" s="114">
        <v>20</v>
      </c>
      <c r="Y84" s="79">
        <v>0.5</v>
      </c>
      <c r="Z84" s="99">
        <v>0.5</v>
      </c>
      <c r="AA84" s="188" t="s">
        <v>3</v>
      </c>
      <c r="AB84" s="79" t="s">
        <v>3</v>
      </c>
      <c r="AC84" s="182" t="s">
        <v>3</v>
      </c>
      <c r="AG84" s="75">
        <v>4</v>
      </c>
      <c r="AH84" s="76" t="s">
        <v>410</v>
      </c>
      <c r="AI84" s="76">
        <v>26</v>
      </c>
      <c r="AJ84" s="76">
        <v>0.3</v>
      </c>
      <c r="AK84" s="76">
        <v>0.3</v>
      </c>
      <c r="AL84" s="76">
        <v>6</v>
      </c>
      <c r="AM84" s="76">
        <v>0.1</v>
      </c>
      <c r="AN84" s="76">
        <v>0.1</v>
      </c>
      <c r="AO84" s="76">
        <v>20</v>
      </c>
      <c r="AP84" s="76">
        <v>0.5</v>
      </c>
      <c r="AQ84" s="76">
        <v>0.5</v>
      </c>
      <c r="AR84" s="187" t="s">
        <v>404</v>
      </c>
      <c r="AS84" s="187" t="s">
        <v>404</v>
      </c>
      <c r="AT84" s="187" t="s">
        <v>404</v>
      </c>
    </row>
    <row r="85" spans="2:47" ht="15.95" customHeight="1">
      <c r="B85" s="1"/>
      <c r="C85" s="174"/>
      <c r="D85" s="85"/>
      <c r="E85" s="97"/>
      <c r="F85" s="79"/>
      <c r="G85" s="99"/>
      <c r="H85" s="114"/>
      <c r="I85" s="79"/>
      <c r="J85" s="99"/>
      <c r="K85" s="114"/>
      <c r="L85" s="79"/>
      <c r="M85" s="99"/>
      <c r="N85" s="176"/>
      <c r="O85" s="1"/>
      <c r="P85" s="272" t="s">
        <v>280</v>
      </c>
      <c r="Q85" s="193" t="s">
        <v>415</v>
      </c>
      <c r="R85" s="191">
        <v>759</v>
      </c>
      <c r="S85" s="78">
        <v>7.8</v>
      </c>
      <c r="T85" s="103">
        <v>9.1</v>
      </c>
      <c r="U85" s="192" t="s">
        <v>3</v>
      </c>
      <c r="V85" s="78" t="s">
        <v>3</v>
      </c>
      <c r="W85" s="103" t="s">
        <v>3</v>
      </c>
      <c r="X85" s="192" t="s">
        <v>3</v>
      </c>
      <c r="Y85" s="78" t="s">
        <v>3</v>
      </c>
      <c r="Z85" s="103" t="s">
        <v>3</v>
      </c>
      <c r="AA85" s="192">
        <v>759</v>
      </c>
      <c r="AB85" s="78">
        <v>100</v>
      </c>
      <c r="AC85" s="184">
        <v>100</v>
      </c>
      <c r="AG85" s="75"/>
      <c r="AH85" s="76" t="s">
        <v>416</v>
      </c>
      <c r="AI85" s="76">
        <v>759</v>
      </c>
      <c r="AJ85" s="76">
        <v>7.8</v>
      </c>
      <c r="AK85" s="76">
        <v>9.1</v>
      </c>
      <c r="AL85" s="187" t="s">
        <v>404</v>
      </c>
      <c r="AM85" s="187" t="s">
        <v>404</v>
      </c>
      <c r="AN85" s="187" t="s">
        <v>404</v>
      </c>
      <c r="AO85" s="187" t="s">
        <v>404</v>
      </c>
      <c r="AP85" s="187" t="s">
        <v>404</v>
      </c>
      <c r="AQ85" s="187" t="s">
        <v>404</v>
      </c>
      <c r="AR85" s="76">
        <v>759</v>
      </c>
      <c r="AS85" s="76">
        <v>100</v>
      </c>
      <c r="AT85" s="76">
        <v>100</v>
      </c>
    </row>
    <row r="86" spans="2:47" ht="15.95" customHeight="1">
      <c r="B86" s="1"/>
      <c r="C86" s="239" t="s">
        <v>280</v>
      </c>
      <c r="D86" s="87" t="s">
        <v>73</v>
      </c>
      <c r="E86" s="102">
        <v>1568</v>
      </c>
      <c r="F86" s="78">
        <v>17.399999999999999</v>
      </c>
      <c r="G86" s="103">
        <v>22.7</v>
      </c>
      <c r="H86" s="113">
        <v>1016</v>
      </c>
      <c r="I86" s="78">
        <v>21.4</v>
      </c>
      <c r="J86" s="103">
        <v>26.9</v>
      </c>
      <c r="K86" s="113">
        <v>552</v>
      </c>
      <c r="L86" s="78">
        <v>12.9</v>
      </c>
      <c r="M86" s="103">
        <v>17.5</v>
      </c>
      <c r="N86" s="252">
        <v>0</v>
      </c>
      <c r="O86" s="1"/>
      <c r="P86" s="273"/>
      <c r="Q86" s="85" t="s">
        <v>73</v>
      </c>
      <c r="R86" s="97">
        <v>1568</v>
      </c>
      <c r="S86" s="79">
        <v>16</v>
      </c>
      <c r="T86" s="99">
        <v>20.6</v>
      </c>
      <c r="U86" s="114">
        <v>1016</v>
      </c>
      <c r="V86" s="79">
        <v>21.4</v>
      </c>
      <c r="W86" s="99">
        <v>26.9</v>
      </c>
      <c r="X86" s="114">
        <v>552</v>
      </c>
      <c r="Y86" s="79">
        <v>12.9</v>
      </c>
      <c r="Z86" s="99">
        <v>17.5</v>
      </c>
      <c r="AA86" s="188" t="s">
        <v>3</v>
      </c>
      <c r="AB86" s="79" t="s">
        <v>3</v>
      </c>
      <c r="AC86" s="190" t="s">
        <v>3</v>
      </c>
      <c r="AH86" s="75">
        <v>2</v>
      </c>
      <c r="AI86" s="76" t="s">
        <v>417</v>
      </c>
      <c r="AJ86" s="76">
        <v>1568</v>
      </c>
      <c r="AK86" s="76">
        <v>16</v>
      </c>
      <c r="AL86" s="76">
        <v>20.6</v>
      </c>
      <c r="AM86" s="76">
        <v>1016</v>
      </c>
      <c r="AN86" s="76">
        <v>21.4</v>
      </c>
      <c r="AO86" s="76">
        <v>26.9</v>
      </c>
      <c r="AP86" s="76">
        <v>552</v>
      </c>
      <c r="AQ86" s="76">
        <v>12.9</v>
      </c>
      <c r="AR86" s="76">
        <v>17.5</v>
      </c>
      <c r="AS86" s="187" t="s">
        <v>404</v>
      </c>
      <c r="AT86" s="187" t="s">
        <v>404</v>
      </c>
      <c r="AU86" s="187" t="s">
        <v>404</v>
      </c>
    </row>
    <row r="87" spans="2:47">
      <c r="B87" s="1"/>
      <c r="C87" s="240"/>
      <c r="D87" s="85" t="s">
        <v>12</v>
      </c>
      <c r="E87" s="97">
        <v>5008</v>
      </c>
      <c r="F87" s="79">
        <v>55.6</v>
      </c>
      <c r="G87" s="99">
        <v>59.1</v>
      </c>
      <c r="H87" s="114">
        <v>2784</v>
      </c>
      <c r="I87" s="79">
        <v>58.8</v>
      </c>
      <c r="J87" s="99">
        <v>60.2</v>
      </c>
      <c r="K87" s="114">
        <v>2224</v>
      </c>
      <c r="L87" s="79">
        <v>52</v>
      </c>
      <c r="M87" s="99">
        <v>57.8</v>
      </c>
      <c r="N87" s="253"/>
      <c r="O87" s="1"/>
      <c r="P87" s="273"/>
      <c r="Q87" s="85" t="s">
        <v>12</v>
      </c>
      <c r="R87" s="97">
        <v>5008</v>
      </c>
      <c r="S87" s="79">
        <v>51.3</v>
      </c>
      <c r="T87" s="99">
        <v>53.7</v>
      </c>
      <c r="U87" s="114">
        <v>2784</v>
      </c>
      <c r="V87" s="79">
        <v>58.8</v>
      </c>
      <c r="W87" s="99">
        <v>60.2</v>
      </c>
      <c r="X87" s="114">
        <v>2224</v>
      </c>
      <c r="Y87" s="79">
        <v>52</v>
      </c>
      <c r="Z87" s="99">
        <v>57.8</v>
      </c>
      <c r="AA87" s="188" t="s">
        <v>3</v>
      </c>
      <c r="AB87" s="79" t="s">
        <v>3</v>
      </c>
      <c r="AC87" s="182" t="s">
        <v>3</v>
      </c>
      <c r="AH87" s="75">
        <v>3</v>
      </c>
      <c r="AI87" s="76">
        <v>3</v>
      </c>
      <c r="AJ87" s="76">
        <v>5008</v>
      </c>
      <c r="AK87" s="76">
        <v>51.3</v>
      </c>
      <c r="AL87" s="76">
        <v>53.7</v>
      </c>
      <c r="AM87" s="76">
        <v>2784</v>
      </c>
      <c r="AN87" s="76">
        <v>58.8</v>
      </c>
      <c r="AO87" s="76">
        <v>60.2</v>
      </c>
      <c r="AP87" s="76">
        <v>2224</v>
      </c>
      <c r="AQ87" s="76">
        <v>52</v>
      </c>
      <c r="AR87" s="76">
        <v>57.8</v>
      </c>
      <c r="AS87" s="187" t="s">
        <v>404</v>
      </c>
      <c r="AT87" s="187" t="s">
        <v>404</v>
      </c>
      <c r="AU87" s="187" t="s">
        <v>404</v>
      </c>
    </row>
    <row r="88" spans="2:47" ht="16.5" thickBot="1">
      <c r="B88" s="1"/>
      <c r="C88" s="243"/>
      <c r="D88" s="92" t="s">
        <v>13</v>
      </c>
      <c r="E88" s="104">
        <v>2436</v>
      </c>
      <c r="F88" s="81">
        <v>27</v>
      </c>
      <c r="G88" s="105">
        <v>18.2</v>
      </c>
      <c r="H88" s="117">
        <v>938</v>
      </c>
      <c r="I88" s="81">
        <v>19.8</v>
      </c>
      <c r="J88" s="105">
        <v>12.9</v>
      </c>
      <c r="K88" s="117">
        <v>1498</v>
      </c>
      <c r="L88" s="81">
        <v>35</v>
      </c>
      <c r="M88" s="105">
        <v>24.7</v>
      </c>
      <c r="N88" s="265"/>
      <c r="O88" s="1"/>
      <c r="P88" s="274"/>
      <c r="Q88" s="92" t="s">
        <v>13</v>
      </c>
      <c r="R88" s="104">
        <v>2436</v>
      </c>
      <c r="S88" s="81">
        <v>24.9</v>
      </c>
      <c r="T88" s="105">
        <v>16.5</v>
      </c>
      <c r="U88" s="117">
        <v>938</v>
      </c>
      <c r="V88" s="81">
        <v>19.8</v>
      </c>
      <c r="W88" s="105">
        <v>12.9</v>
      </c>
      <c r="X88" s="117">
        <v>1498</v>
      </c>
      <c r="Y88" s="81">
        <v>35</v>
      </c>
      <c r="Z88" s="105">
        <v>24.7</v>
      </c>
      <c r="AA88" s="189" t="s">
        <v>3</v>
      </c>
      <c r="AB88" s="81" t="s">
        <v>3</v>
      </c>
      <c r="AC88" s="185" t="s">
        <v>3</v>
      </c>
      <c r="AH88" s="75">
        <v>4</v>
      </c>
      <c r="AI88" s="76">
        <v>4</v>
      </c>
      <c r="AJ88" s="76">
        <v>2436</v>
      </c>
      <c r="AK88" s="76">
        <v>24.9</v>
      </c>
      <c r="AL88" s="76">
        <v>16.5</v>
      </c>
      <c r="AM88" s="76">
        <v>938</v>
      </c>
      <c r="AN88" s="76">
        <v>19.8</v>
      </c>
      <c r="AO88" s="76">
        <v>12.9</v>
      </c>
      <c r="AP88" s="76">
        <v>1498</v>
      </c>
      <c r="AQ88" s="76">
        <v>35</v>
      </c>
      <c r="AR88" s="76">
        <v>24.7</v>
      </c>
      <c r="AS88" s="187" t="s">
        <v>404</v>
      </c>
      <c r="AT88" s="187" t="s">
        <v>404</v>
      </c>
      <c r="AU88" s="187" t="s">
        <v>404</v>
      </c>
    </row>
    <row r="89" spans="2:47" ht="16.5" customHeight="1" thickTop="1">
      <c r="B89" s="1"/>
      <c r="C89" s="242" t="s">
        <v>287</v>
      </c>
      <c r="D89" s="93" t="s">
        <v>281</v>
      </c>
      <c r="E89" s="106">
        <v>1626</v>
      </c>
      <c r="F89" s="82">
        <v>18</v>
      </c>
      <c r="G89" s="107">
        <v>18.399999999999999</v>
      </c>
      <c r="H89" s="118">
        <v>563</v>
      </c>
      <c r="I89" s="82">
        <v>11.9</v>
      </c>
      <c r="J89" s="107">
        <v>12</v>
      </c>
      <c r="K89" s="118">
        <v>1063</v>
      </c>
      <c r="L89" s="82">
        <v>24.9</v>
      </c>
      <c r="M89" s="107">
        <v>26.2</v>
      </c>
      <c r="N89" s="264">
        <v>0</v>
      </c>
      <c r="O89" s="1"/>
      <c r="P89" s="242" t="s">
        <v>287</v>
      </c>
      <c r="Q89" s="93" t="s">
        <v>281</v>
      </c>
      <c r="R89" s="106">
        <v>1619</v>
      </c>
      <c r="S89" s="82">
        <v>16.600000000000001</v>
      </c>
      <c r="T89" s="107">
        <v>16.899999999999999</v>
      </c>
      <c r="U89" s="118">
        <v>563</v>
      </c>
      <c r="V89" s="82">
        <v>11.9</v>
      </c>
      <c r="W89" s="107">
        <v>12</v>
      </c>
      <c r="X89" s="118">
        <v>959</v>
      </c>
      <c r="Y89" s="82">
        <v>22.4</v>
      </c>
      <c r="Z89" s="107">
        <v>23.6</v>
      </c>
      <c r="AA89" s="118">
        <v>97</v>
      </c>
      <c r="AB89" s="82">
        <v>12.8</v>
      </c>
      <c r="AC89" s="186">
        <v>14</v>
      </c>
    </row>
    <row r="90" spans="2:47">
      <c r="B90" s="1"/>
      <c r="C90" s="240"/>
      <c r="D90" s="85" t="s">
        <v>22</v>
      </c>
      <c r="E90" s="97">
        <v>3954</v>
      </c>
      <c r="F90" s="79">
        <v>43.9</v>
      </c>
      <c r="G90" s="99">
        <v>46.6</v>
      </c>
      <c r="H90" s="114">
        <v>2515</v>
      </c>
      <c r="I90" s="79">
        <v>53.1</v>
      </c>
      <c r="J90" s="99">
        <v>55.4</v>
      </c>
      <c r="K90" s="114">
        <v>1439</v>
      </c>
      <c r="L90" s="79">
        <v>33.700000000000003</v>
      </c>
      <c r="M90" s="99">
        <v>35.799999999999997</v>
      </c>
      <c r="N90" s="253"/>
      <c r="O90" s="1"/>
      <c r="P90" s="240"/>
      <c r="Q90" s="85" t="s">
        <v>22</v>
      </c>
      <c r="R90" s="97">
        <v>4371</v>
      </c>
      <c r="S90" s="79">
        <v>44.7</v>
      </c>
      <c r="T90" s="99">
        <v>47.6</v>
      </c>
      <c r="U90" s="114">
        <v>2515</v>
      </c>
      <c r="V90" s="79">
        <v>53.1</v>
      </c>
      <c r="W90" s="99">
        <v>55.4</v>
      </c>
      <c r="X90" s="114">
        <v>1543</v>
      </c>
      <c r="Y90" s="79">
        <v>36.1</v>
      </c>
      <c r="Z90" s="99">
        <v>38.299999999999997</v>
      </c>
      <c r="AA90" s="114">
        <v>313</v>
      </c>
      <c r="AB90" s="79">
        <v>41.2</v>
      </c>
      <c r="AC90" s="182">
        <v>46.1</v>
      </c>
      <c r="AG90" s="75">
        <v>1</v>
      </c>
      <c r="AH90" s="76" t="s">
        <v>411</v>
      </c>
      <c r="AI90" s="76">
        <v>2071</v>
      </c>
      <c r="AJ90" s="76">
        <v>21.2</v>
      </c>
      <c r="AK90" s="76">
        <v>22.9</v>
      </c>
      <c r="AL90" s="76">
        <v>898</v>
      </c>
      <c r="AM90" s="76">
        <v>19</v>
      </c>
      <c r="AN90" s="76">
        <v>21</v>
      </c>
      <c r="AO90" s="76">
        <v>827</v>
      </c>
      <c r="AP90" s="76">
        <v>19.3</v>
      </c>
      <c r="AQ90" s="76">
        <v>21.6</v>
      </c>
      <c r="AR90" s="76">
        <v>346</v>
      </c>
      <c r="AS90" s="76">
        <v>45.6</v>
      </c>
      <c r="AT90" s="76">
        <v>39.4</v>
      </c>
    </row>
    <row r="91" spans="2:47">
      <c r="B91" s="1"/>
      <c r="C91" s="241"/>
      <c r="D91" s="86" t="s">
        <v>276</v>
      </c>
      <c r="E91" s="100">
        <v>1725</v>
      </c>
      <c r="F91" s="80">
        <v>19.100000000000001</v>
      </c>
      <c r="G91" s="101">
        <v>21.3</v>
      </c>
      <c r="H91" s="115">
        <v>898</v>
      </c>
      <c r="I91" s="80">
        <v>19</v>
      </c>
      <c r="J91" s="101">
        <v>21</v>
      </c>
      <c r="K91" s="115">
        <v>827</v>
      </c>
      <c r="L91" s="80">
        <v>19.3</v>
      </c>
      <c r="M91" s="101">
        <v>21.6</v>
      </c>
      <c r="N91" s="254"/>
      <c r="O91" s="1"/>
      <c r="P91" s="241"/>
      <c r="Q91" s="86" t="s">
        <v>276</v>
      </c>
      <c r="R91" s="100">
        <v>2071</v>
      </c>
      <c r="S91" s="80">
        <v>21.2</v>
      </c>
      <c r="T91" s="101">
        <v>22.9</v>
      </c>
      <c r="U91" s="115">
        <v>898</v>
      </c>
      <c r="V91" s="80">
        <v>19</v>
      </c>
      <c r="W91" s="101">
        <v>21</v>
      </c>
      <c r="X91" s="115">
        <v>827</v>
      </c>
      <c r="Y91" s="80">
        <v>19.3</v>
      </c>
      <c r="Z91" s="101">
        <v>21.6</v>
      </c>
      <c r="AA91" s="115">
        <v>346</v>
      </c>
      <c r="AB91" s="80">
        <v>45.6</v>
      </c>
      <c r="AC91" s="183">
        <v>39.4</v>
      </c>
      <c r="AG91" s="75">
        <v>2</v>
      </c>
      <c r="AH91" s="76" t="s">
        <v>412</v>
      </c>
      <c r="AI91" s="76">
        <v>1619</v>
      </c>
      <c r="AJ91" s="76">
        <v>16.600000000000001</v>
      </c>
      <c r="AK91" s="76">
        <v>16.899999999999999</v>
      </c>
      <c r="AL91" s="76">
        <v>563</v>
      </c>
      <c r="AM91" s="76">
        <v>11.9</v>
      </c>
      <c r="AN91" s="76">
        <v>12</v>
      </c>
      <c r="AO91" s="76">
        <v>959</v>
      </c>
      <c r="AP91" s="76">
        <v>22.4</v>
      </c>
      <c r="AQ91" s="76">
        <v>23.6</v>
      </c>
      <c r="AR91" s="76">
        <v>97</v>
      </c>
      <c r="AS91" s="76">
        <v>12.8</v>
      </c>
      <c r="AT91" s="76">
        <v>14</v>
      </c>
    </row>
    <row r="92" spans="2:47" ht="15.95" customHeight="1">
      <c r="B92" s="1"/>
      <c r="C92" s="239" t="s">
        <v>286</v>
      </c>
      <c r="D92" s="85" t="s">
        <v>277</v>
      </c>
      <c r="E92" s="97">
        <f>H92+K92</f>
        <v>883</v>
      </c>
      <c r="F92" s="79">
        <f>(E92/E$67)*100</f>
        <v>9.7980470483799369</v>
      </c>
      <c r="G92" s="108">
        <v>10</v>
      </c>
      <c r="H92" s="114">
        <v>62</v>
      </c>
      <c r="I92" s="79">
        <f>(H92/H$67)*100</f>
        <v>1.3085690164626425</v>
      </c>
      <c r="J92" s="108">
        <v>1.5</v>
      </c>
      <c r="K92" s="114">
        <v>821</v>
      </c>
      <c r="L92" s="79">
        <f>(K92/K$67)*100</f>
        <v>19.209171736078616</v>
      </c>
      <c r="M92" s="108">
        <v>20.7</v>
      </c>
      <c r="N92" s="252">
        <v>0</v>
      </c>
      <c r="O92" s="1"/>
      <c r="P92" s="239" t="s">
        <v>286</v>
      </c>
      <c r="Q92" s="85" t="s">
        <v>277</v>
      </c>
      <c r="R92" s="97">
        <v>916</v>
      </c>
      <c r="S92" s="79">
        <v>9.4</v>
      </c>
      <c r="T92" s="108">
        <v>9.6</v>
      </c>
      <c r="U92" s="114">
        <v>62</v>
      </c>
      <c r="V92" s="79">
        <v>1.3</v>
      </c>
      <c r="W92" s="108">
        <v>1.5</v>
      </c>
      <c r="X92" s="114">
        <v>821</v>
      </c>
      <c r="Y92" s="79">
        <v>19.2</v>
      </c>
      <c r="Z92" s="108">
        <v>20.7</v>
      </c>
      <c r="AA92" s="114">
        <v>33</v>
      </c>
      <c r="AB92" s="79">
        <v>4.3</v>
      </c>
      <c r="AC92" s="79">
        <v>3.9</v>
      </c>
      <c r="AG92" s="75">
        <v>3</v>
      </c>
      <c r="AH92" s="76" t="s">
        <v>413</v>
      </c>
      <c r="AI92" s="76">
        <v>4371</v>
      </c>
      <c r="AJ92" s="76">
        <v>44.7</v>
      </c>
      <c r="AK92" s="76">
        <v>47.6</v>
      </c>
      <c r="AL92" s="76">
        <v>2515</v>
      </c>
      <c r="AM92" s="76">
        <v>53.1</v>
      </c>
      <c r="AN92" s="76">
        <v>55.4</v>
      </c>
      <c r="AO92" s="76">
        <v>1543</v>
      </c>
      <c r="AP92" s="76">
        <v>36.1</v>
      </c>
      <c r="AQ92" s="76">
        <v>38.299999999999997</v>
      </c>
      <c r="AR92" s="76">
        <v>313</v>
      </c>
      <c r="AS92" s="76">
        <v>41.2</v>
      </c>
      <c r="AT92" s="76">
        <v>46.1</v>
      </c>
    </row>
    <row r="93" spans="2:47">
      <c r="B93" s="1"/>
      <c r="C93" s="240"/>
      <c r="D93" s="85" t="s">
        <v>278</v>
      </c>
      <c r="E93" s="97">
        <f t="shared" ref="E93" si="3">H93+K93</f>
        <v>6465</v>
      </c>
      <c r="F93" s="79">
        <f>(E93/E$67)*100</f>
        <v>71.737683089214372</v>
      </c>
      <c r="G93" s="108">
        <v>76.400000000000006</v>
      </c>
      <c r="H93" s="114">
        <v>3915</v>
      </c>
      <c r="I93" s="79">
        <f>(H93/H$67)*100</f>
        <v>82.629801604052346</v>
      </c>
      <c r="J93" s="108">
        <v>86.9</v>
      </c>
      <c r="K93" s="114">
        <v>2550</v>
      </c>
      <c r="L93" s="79">
        <f>(K93/K$67)*100</f>
        <v>59.663079082826386</v>
      </c>
      <c r="M93" s="108">
        <v>63.6</v>
      </c>
      <c r="N93" s="253"/>
      <c r="O93" s="1"/>
      <c r="P93" s="240"/>
      <c r="Q93" s="85" t="s">
        <v>278</v>
      </c>
      <c r="R93" s="97">
        <v>7188</v>
      </c>
      <c r="S93" s="79">
        <v>73.599999999999994</v>
      </c>
      <c r="T93" s="108">
        <v>78.099999999999994</v>
      </c>
      <c r="U93" s="114">
        <v>3915</v>
      </c>
      <c r="V93" s="79">
        <v>82.6</v>
      </c>
      <c r="W93" s="108">
        <v>86.9</v>
      </c>
      <c r="X93" s="114">
        <v>2550</v>
      </c>
      <c r="Y93" s="79">
        <v>59.7</v>
      </c>
      <c r="Z93" s="108">
        <v>63.6</v>
      </c>
      <c r="AA93" s="114">
        <v>723</v>
      </c>
      <c r="AB93" s="79">
        <v>95.3</v>
      </c>
      <c r="AC93" s="79">
        <v>95.6</v>
      </c>
      <c r="AG93" s="75">
        <v>4</v>
      </c>
      <c r="AH93" s="76" t="s">
        <v>414</v>
      </c>
      <c r="AI93" s="76">
        <v>1710</v>
      </c>
      <c r="AJ93" s="76">
        <v>17.5</v>
      </c>
      <c r="AK93" s="76">
        <v>12.6</v>
      </c>
      <c r="AL93" s="76">
        <v>762</v>
      </c>
      <c r="AM93" s="76">
        <v>16.100000000000001</v>
      </c>
      <c r="AN93" s="76">
        <v>11.6</v>
      </c>
      <c r="AO93" s="76">
        <v>945</v>
      </c>
      <c r="AP93" s="76">
        <v>22.1</v>
      </c>
      <c r="AQ93" s="76">
        <v>16.399999999999999</v>
      </c>
      <c r="AR93" s="76">
        <v>3</v>
      </c>
      <c r="AS93" s="76">
        <v>0.4</v>
      </c>
      <c r="AT93" s="76">
        <v>0.5</v>
      </c>
    </row>
    <row r="94" spans="2:47" ht="16.5" thickBot="1">
      <c r="B94" s="1"/>
      <c r="C94" s="244"/>
      <c r="D94" s="94" t="s">
        <v>279</v>
      </c>
      <c r="E94" s="109">
        <f>H94+K94</f>
        <v>1664</v>
      </c>
      <c r="F94" s="83">
        <f>(E94/E$67)*100</f>
        <v>18.464269862405679</v>
      </c>
      <c r="G94" s="110">
        <v>13.6</v>
      </c>
      <c r="H94" s="119">
        <v>761</v>
      </c>
      <c r="I94" s="83">
        <f>(H94/H$67)*100</f>
        <v>16.061629379485016</v>
      </c>
      <c r="J94" s="110">
        <v>11.6</v>
      </c>
      <c r="K94" s="119">
        <v>903</v>
      </c>
      <c r="L94" s="83">
        <f>(K94/K$67)*100</f>
        <v>21.127749181094995</v>
      </c>
      <c r="M94" s="110">
        <v>15.7</v>
      </c>
      <c r="N94" s="266"/>
      <c r="O94" s="1"/>
      <c r="P94" s="244"/>
      <c r="Q94" s="94" t="s">
        <v>279</v>
      </c>
      <c r="R94" s="109">
        <v>1710</v>
      </c>
      <c r="S94" s="83">
        <v>17.5</v>
      </c>
      <c r="T94" s="110">
        <v>12.6</v>
      </c>
      <c r="U94" s="119">
        <v>762</v>
      </c>
      <c r="V94" s="83">
        <v>16.100000000000001</v>
      </c>
      <c r="W94" s="110">
        <v>11.6</v>
      </c>
      <c r="X94" s="119">
        <v>945</v>
      </c>
      <c r="Y94" s="83">
        <v>22.1</v>
      </c>
      <c r="Z94" s="110">
        <v>16.399999999999999</v>
      </c>
      <c r="AA94" s="119">
        <v>3</v>
      </c>
      <c r="AB94" s="83">
        <v>0.4</v>
      </c>
      <c r="AC94" s="83">
        <v>0.5</v>
      </c>
    </row>
    <row r="95" spans="2:47">
      <c r="B95" s="1"/>
      <c r="C95" s="77" t="s">
        <v>165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77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G95" s="75">
        <v>1</v>
      </c>
      <c r="AH95" s="76" t="s">
        <v>412</v>
      </c>
      <c r="AI95" s="76">
        <v>916</v>
      </c>
      <c r="AJ95" s="76">
        <v>9.4</v>
      </c>
      <c r="AK95" s="76">
        <v>9.6</v>
      </c>
      <c r="AL95" s="76">
        <v>62</v>
      </c>
      <c r="AM95" s="76">
        <v>1.3</v>
      </c>
      <c r="AN95" s="76">
        <v>1.5</v>
      </c>
      <c r="AO95" s="76">
        <v>821</v>
      </c>
      <c r="AP95" s="76">
        <v>19.2</v>
      </c>
      <c r="AQ95" s="76">
        <v>20.7</v>
      </c>
      <c r="AR95" s="76">
        <v>33</v>
      </c>
      <c r="AS95" s="76">
        <v>4.3</v>
      </c>
      <c r="AT95" s="76">
        <v>3.9</v>
      </c>
    </row>
    <row r="96" spans="2:47">
      <c r="B96" s="1"/>
      <c r="C96" s="35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35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G96" s="75">
        <v>2</v>
      </c>
      <c r="AH96" s="76" t="s">
        <v>413</v>
      </c>
      <c r="AI96" s="76">
        <v>7188</v>
      </c>
      <c r="AJ96" s="76">
        <v>73.599999999999994</v>
      </c>
      <c r="AK96" s="76">
        <v>78.099999999999994</v>
      </c>
      <c r="AL96" s="76">
        <v>3915</v>
      </c>
      <c r="AM96" s="76">
        <v>82.6</v>
      </c>
      <c r="AN96" s="76">
        <v>86.9</v>
      </c>
      <c r="AO96" s="76">
        <v>2550</v>
      </c>
      <c r="AP96" s="76">
        <v>59.7</v>
      </c>
      <c r="AQ96" s="76">
        <v>63.6</v>
      </c>
      <c r="AR96" s="76">
        <v>723</v>
      </c>
      <c r="AS96" s="76">
        <v>95.3</v>
      </c>
      <c r="AT96" s="76">
        <v>95.6</v>
      </c>
    </row>
    <row r="97" spans="2:29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2:29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2:29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2:29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2:29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2:29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2:29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2:29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2:29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2:29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2:29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2:29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2:29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2:29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2:29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2:29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2:29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2:29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2:29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2:29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2:29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2:29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2:29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2:29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2:29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2:29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2:29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2:29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2:29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2:29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2:29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2:29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2:29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2:29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2:29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2:29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2:29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2:29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2:29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2:29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2:29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</sheetData>
  <mergeCells count="103">
    <mergeCell ref="AA5:AC5"/>
    <mergeCell ref="AA33:AC33"/>
    <mergeCell ref="AA65:AC65"/>
    <mergeCell ref="P45:P48"/>
    <mergeCell ref="P49:P52"/>
    <mergeCell ref="P53:P55"/>
    <mergeCell ref="P36:P39"/>
    <mergeCell ref="P40:P41"/>
    <mergeCell ref="P42:P44"/>
    <mergeCell ref="P25:P27"/>
    <mergeCell ref="P28:P30"/>
    <mergeCell ref="P33:Q35"/>
    <mergeCell ref="R33:R34"/>
    <mergeCell ref="S33:S34"/>
    <mergeCell ref="T33:T34"/>
    <mergeCell ref="U33:W33"/>
    <mergeCell ref="X33:Z33"/>
    <mergeCell ref="P17:P20"/>
    <mergeCell ref="P21:P24"/>
    <mergeCell ref="P89:P91"/>
    <mergeCell ref="P92:P94"/>
    <mergeCell ref="P5:Q7"/>
    <mergeCell ref="R5:R6"/>
    <mergeCell ref="S5:S6"/>
    <mergeCell ref="T5:T6"/>
    <mergeCell ref="U5:W5"/>
    <mergeCell ref="X5:Z5"/>
    <mergeCell ref="P8:P11"/>
    <mergeCell ref="P12:P13"/>
    <mergeCell ref="P14:P16"/>
    <mergeCell ref="P77:P80"/>
    <mergeCell ref="P81:P84"/>
    <mergeCell ref="P68:P71"/>
    <mergeCell ref="P72:P73"/>
    <mergeCell ref="P74:P76"/>
    <mergeCell ref="P65:Q67"/>
    <mergeCell ref="R65:T65"/>
    <mergeCell ref="U65:W65"/>
    <mergeCell ref="X65:Z65"/>
    <mergeCell ref="P85:P88"/>
    <mergeCell ref="P56:P58"/>
    <mergeCell ref="N36:N39"/>
    <mergeCell ref="N12:N13"/>
    <mergeCell ref="N8:N11"/>
    <mergeCell ref="N5:N7"/>
    <mergeCell ref="N14:N16"/>
    <mergeCell ref="N25:N27"/>
    <mergeCell ref="N21:N24"/>
    <mergeCell ref="N17:N20"/>
    <mergeCell ref="N28:N30"/>
    <mergeCell ref="N45:N48"/>
    <mergeCell ref="N42:N44"/>
    <mergeCell ref="N56:N58"/>
    <mergeCell ref="N53:N55"/>
    <mergeCell ref="N40:N41"/>
    <mergeCell ref="N89:N91"/>
    <mergeCell ref="N86:N88"/>
    <mergeCell ref="N92:N94"/>
    <mergeCell ref="N81:N84"/>
    <mergeCell ref="N49:N52"/>
    <mergeCell ref="N65:N66"/>
    <mergeCell ref="E65:G65"/>
    <mergeCell ref="C77:C80"/>
    <mergeCell ref="N77:N80"/>
    <mergeCell ref="K65:M65"/>
    <mergeCell ref="C68:C71"/>
    <mergeCell ref="N68:N71"/>
    <mergeCell ref="C72:C73"/>
    <mergeCell ref="N72:N73"/>
    <mergeCell ref="H65:J65"/>
    <mergeCell ref="C74:C76"/>
    <mergeCell ref="N74:N76"/>
    <mergeCell ref="C65:D67"/>
    <mergeCell ref="C81:C84"/>
    <mergeCell ref="C89:C91"/>
    <mergeCell ref="C86:C88"/>
    <mergeCell ref="C92:C94"/>
    <mergeCell ref="C28:C30"/>
    <mergeCell ref="C17:C20"/>
    <mergeCell ref="C21:C24"/>
    <mergeCell ref="C25:C27"/>
    <mergeCell ref="C14:C16"/>
    <mergeCell ref="C36:C39"/>
    <mergeCell ref="C40:C41"/>
    <mergeCell ref="C53:C55"/>
    <mergeCell ref="C56:C58"/>
    <mergeCell ref="C42:C44"/>
    <mergeCell ref="C45:C48"/>
    <mergeCell ref="C49:C52"/>
    <mergeCell ref="H5:J5"/>
    <mergeCell ref="K5:M5"/>
    <mergeCell ref="G5:G6"/>
    <mergeCell ref="C5:D7"/>
    <mergeCell ref="E5:E6"/>
    <mergeCell ref="F5:F6"/>
    <mergeCell ref="C8:C11"/>
    <mergeCell ref="C12:C13"/>
    <mergeCell ref="K33:M33"/>
    <mergeCell ref="C33:D35"/>
    <mergeCell ref="E33:E34"/>
    <mergeCell ref="F33:F34"/>
    <mergeCell ref="G33:G34"/>
    <mergeCell ref="H33:J33"/>
  </mergeCells>
  <pageMargins left="0.7" right="0.7" top="0.75" bottom="0.75" header="0.3" footer="0.3"/>
  <pageSetup orientation="portrait" verticalDpi="0" r:id="rId1"/>
  <ignoredErrors>
    <ignoredError sqref="G36:G58 J36:J58 M36:M5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0AFAA-D2C6-834E-A6B1-7339993FD029}">
  <dimension ref="B2:Q62"/>
  <sheetViews>
    <sheetView topLeftCell="A54" zoomScale="121" workbookViewId="0">
      <selection activeCell="M25" sqref="M25"/>
    </sheetView>
  </sheetViews>
  <sheetFormatPr defaultColWidth="10.875" defaultRowHeight="15.75"/>
  <cols>
    <col min="3" max="3" width="11.125" bestFit="1" customWidth="1"/>
    <col min="4" max="4" width="2.125" customWidth="1"/>
    <col min="5" max="9" width="20.87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 ht="21.95" customHeight="1">
      <c r="B4" s="1"/>
      <c r="C4" s="1"/>
      <c r="D4" s="1"/>
      <c r="E4" s="11" t="s">
        <v>32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2:17">
      <c r="B5" s="1"/>
      <c r="C5" s="10" t="s">
        <v>24</v>
      </c>
      <c r="D5" s="15"/>
      <c r="E5" s="12" t="s">
        <v>68</v>
      </c>
      <c r="F5" s="12" t="s">
        <v>69</v>
      </c>
      <c r="G5" s="12" t="s">
        <v>70</v>
      </c>
      <c r="H5" s="12" t="s">
        <v>71</v>
      </c>
      <c r="I5" s="12" t="s">
        <v>72</v>
      </c>
      <c r="J5" s="1"/>
      <c r="K5" s="1"/>
      <c r="L5" s="1"/>
      <c r="M5" s="1"/>
      <c r="N5" s="1"/>
      <c r="O5" s="1"/>
      <c r="P5" s="1"/>
      <c r="Q5" s="1"/>
    </row>
    <row r="6" spans="2:17">
      <c r="B6" s="1"/>
      <c r="C6" s="10" t="s">
        <v>25</v>
      </c>
      <c r="D6" s="15"/>
      <c r="E6" s="12" t="s">
        <v>63</v>
      </c>
      <c r="F6" s="12" t="s">
        <v>64</v>
      </c>
      <c r="G6" s="12" t="s">
        <v>65</v>
      </c>
      <c r="H6" s="12" t="s">
        <v>66</v>
      </c>
      <c r="I6" s="12" t="s">
        <v>67</v>
      </c>
      <c r="J6" s="1"/>
      <c r="K6" s="1"/>
      <c r="L6" s="1"/>
      <c r="M6" s="1"/>
      <c r="N6" s="1"/>
      <c r="O6" s="1"/>
      <c r="P6" s="1"/>
      <c r="Q6" s="1"/>
    </row>
    <row r="7" spans="2:17">
      <c r="B7" s="1"/>
      <c r="C7" s="10" t="s">
        <v>26</v>
      </c>
      <c r="D7" s="15"/>
      <c r="E7" s="12" t="s">
        <v>58</v>
      </c>
      <c r="F7" s="12" t="s">
        <v>59</v>
      </c>
      <c r="G7" s="12" t="s">
        <v>60</v>
      </c>
      <c r="H7" s="12" t="s">
        <v>61</v>
      </c>
      <c r="I7" s="12" t="s">
        <v>62</v>
      </c>
      <c r="J7" s="1"/>
      <c r="K7" s="1"/>
      <c r="L7" s="1"/>
      <c r="M7" s="1"/>
      <c r="N7" s="1"/>
      <c r="O7" s="1"/>
      <c r="P7" s="1"/>
      <c r="Q7" s="1"/>
    </row>
    <row r="8" spans="2:17">
      <c r="B8" s="1"/>
      <c r="C8" s="10" t="s">
        <v>27</v>
      </c>
      <c r="D8" s="15"/>
      <c r="E8" s="12" t="s">
        <v>53</v>
      </c>
      <c r="F8" s="12" t="s">
        <v>54</v>
      </c>
      <c r="G8" s="12" t="s">
        <v>55</v>
      </c>
      <c r="H8" s="12" t="s">
        <v>56</v>
      </c>
      <c r="I8" s="12" t="s">
        <v>57</v>
      </c>
      <c r="J8" s="1"/>
      <c r="K8" s="1"/>
      <c r="L8" s="1"/>
      <c r="M8" s="1"/>
      <c r="N8" s="1"/>
      <c r="O8" s="1"/>
      <c r="P8" s="1"/>
      <c r="Q8" s="1"/>
    </row>
    <row r="9" spans="2:17">
      <c r="B9" s="1"/>
      <c r="C9" s="10" t="s">
        <v>28</v>
      </c>
      <c r="D9" s="15"/>
      <c r="E9" s="12" t="s">
        <v>33</v>
      </c>
      <c r="F9" s="12" t="s">
        <v>34</v>
      </c>
      <c r="G9" s="12" t="s">
        <v>35</v>
      </c>
      <c r="H9" s="12" t="s">
        <v>36</v>
      </c>
      <c r="I9" s="12" t="s">
        <v>37</v>
      </c>
      <c r="J9" s="1"/>
      <c r="K9" s="1"/>
      <c r="L9" s="1"/>
      <c r="M9" s="1"/>
      <c r="N9" s="1"/>
      <c r="O9" s="1"/>
      <c r="P9" s="1"/>
      <c r="Q9" s="1"/>
    </row>
    <row r="10" spans="2:17">
      <c r="B10" s="1"/>
      <c r="C10" s="10" t="s">
        <v>29</v>
      </c>
      <c r="D10" s="15"/>
      <c r="E10" s="12" t="s">
        <v>38</v>
      </c>
      <c r="F10" s="12" t="s">
        <v>39</v>
      </c>
      <c r="G10" s="12" t="s">
        <v>40</v>
      </c>
      <c r="H10" s="12" t="s">
        <v>41</v>
      </c>
      <c r="I10" s="12" t="s">
        <v>42</v>
      </c>
      <c r="J10" s="1"/>
      <c r="K10" s="1"/>
      <c r="L10" s="1"/>
      <c r="M10" s="1"/>
      <c r="N10" s="1"/>
      <c r="O10" s="1"/>
      <c r="P10" s="1"/>
      <c r="Q10" s="1"/>
    </row>
    <row r="11" spans="2:17">
      <c r="B11" s="1"/>
      <c r="C11" s="10" t="s">
        <v>30</v>
      </c>
      <c r="D11" s="15"/>
      <c r="E11" s="12" t="s">
        <v>43</v>
      </c>
      <c r="F11" s="12" t="s">
        <v>44</v>
      </c>
      <c r="G11" s="12" t="s">
        <v>45</v>
      </c>
      <c r="H11" s="12" t="s">
        <v>46</v>
      </c>
      <c r="I11" s="12" t="s">
        <v>47</v>
      </c>
      <c r="J11" s="1"/>
      <c r="K11" s="1"/>
      <c r="L11" s="1"/>
      <c r="M11" s="1"/>
      <c r="N11" s="1"/>
      <c r="O11" s="1"/>
      <c r="P11" s="1"/>
      <c r="Q11" s="1"/>
    </row>
    <row r="12" spans="2:17" ht="16.5" thickBot="1">
      <c r="B12" s="1"/>
      <c r="C12" s="10" t="s">
        <v>31</v>
      </c>
      <c r="D12" s="16"/>
      <c r="E12" s="13" t="s">
        <v>48</v>
      </c>
      <c r="F12" s="13" t="s">
        <v>49</v>
      </c>
      <c r="G12" s="13" t="s">
        <v>50</v>
      </c>
      <c r="H12" s="13" t="s">
        <v>51</v>
      </c>
      <c r="I12" s="13" t="s">
        <v>52</v>
      </c>
      <c r="J12" s="1"/>
      <c r="K12" s="1"/>
      <c r="L12" s="1"/>
      <c r="M12" s="1"/>
      <c r="N12" s="1"/>
      <c r="O12" s="1"/>
      <c r="P12" s="1"/>
      <c r="Q12" s="1"/>
    </row>
    <row r="13" spans="2:17">
      <c r="B13" s="1"/>
      <c r="C13" s="9"/>
      <c r="D13" s="9"/>
      <c r="E13" s="14">
        <v>0</v>
      </c>
      <c r="F13" s="14">
        <v>1</v>
      </c>
      <c r="G13" s="14">
        <v>2</v>
      </c>
      <c r="H13" s="14">
        <v>3</v>
      </c>
      <c r="I13" s="14">
        <v>4</v>
      </c>
      <c r="J13" s="1"/>
      <c r="K13" s="1"/>
      <c r="L13" s="1"/>
      <c r="M13" s="1"/>
      <c r="N13" s="1"/>
      <c r="O13" s="1"/>
      <c r="P13" s="1"/>
      <c r="Q13" s="1"/>
    </row>
    <row r="14" spans="2:17">
      <c r="B14" s="1"/>
      <c r="C14" s="1"/>
      <c r="D14" s="1"/>
      <c r="E14" s="279" t="s">
        <v>23</v>
      </c>
      <c r="F14" s="279"/>
      <c r="G14" s="279"/>
      <c r="H14" s="279"/>
      <c r="I14" s="279"/>
      <c r="J14" s="1"/>
      <c r="K14" s="1"/>
      <c r="L14" s="1"/>
      <c r="M14" s="1"/>
      <c r="N14" s="1"/>
      <c r="O14" s="1"/>
      <c r="P14" s="1"/>
      <c r="Q14" s="1"/>
    </row>
    <row r="15" spans="2:17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2:17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2:17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2:17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2:17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2:17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2:17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2:17">
      <c r="E22" s="17"/>
      <c r="F22" s="17"/>
      <c r="G22" s="17"/>
      <c r="H22" s="17"/>
      <c r="I22" s="17"/>
    </row>
    <row r="23" spans="2:17">
      <c r="E23" s="17"/>
      <c r="F23" s="17"/>
      <c r="G23" s="17"/>
      <c r="H23" s="17"/>
      <c r="I23" s="17"/>
    </row>
    <row r="24" spans="2:17">
      <c r="B24" s="1"/>
      <c r="C24" s="1"/>
      <c r="D24" s="1"/>
      <c r="E24" s="1"/>
      <c r="F24" s="1"/>
      <c r="G24" s="1"/>
      <c r="H24" s="1"/>
      <c r="I24" s="1"/>
      <c r="J24" s="1"/>
    </row>
    <row r="25" spans="2:17">
      <c r="B25" s="1"/>
      <c r="C25" s="1"/>
      <c r="D25" s="1"/>
      <c r="E25" s="1"/>
      <c r="F25" s="1"/>
      <c r="G25" s="1"/>
      <c r="H25" s="1"/>
      <c r="I25" s="1"/>
      <c r="J25" s="1"/>
    </row>
    <row r="26" spans="2:17">
      <c r="B26" s="1"/>
      <c r="C26" s="1"/>
      <c r="D26" s="1"/>
      <c r="E26" s="11" t="s">
        <v>32</v>
      </c>
      <c r="F26" s="1"/>
      <c r="G26" s="1"/>
      <c r="H26" s="1"/>
      <c r="I26" s="1"/>
      <c r="J26" s="1"/>
    </row>
    <row r="27" spans="2:17">
      <c r="B27" s="1"/>
      <c r="C27" s="10" t="s">
        <v>24</v>
      </c>
      <c r="D27" s="15"/>
      <c r="E27" s="17" t="s">
        <v>166</v>
      </c>
      <c r="F27" s="17" t="s">
        <v>167</v>
      </c>
      <c r="G27" s="17" t="s">
        <v>213</v>
      </c>
      <c r="H27" s="17" t="s">
        <v>214</v>
      </c>
      <c r="I27" s="17" t="s">
        <v>215</v>
      </c>
      <c r="J27" s="1"/>
    </row>
    <row r="28" spans="2:17">
      <c r="B28" s="1"/>
      <c r="C28" s="10" t="s">
        <v>25</v>
      </c>
      <c r="D28" s="15"/>
      <c r="E28" s="17" t="s">
        <v>208</v>
      </c>
      <c r="F28" s="17" t="s">
        <v>209</v>
      </c>
      <c r="G28" s="17" t="s">
        <v>210</v>
      </c>
      <c r="H28" s="17" t="s">
        <v>211</v>
      </c>
      <c r="I28" s="17" t="s">
        <v>212</v>
      </c>
      <c r="J28" s="1"/>
    </row>
    <row r="29" spans="2:17">
      <c r="B29" s="1"/>
      <c r="C29" s="10" t="s">
        <v>26</v>
      </c>
      <c r="D29" s="15"/>
      <c r="E29" s="17" t="s">
        <v>203</v>
      </c>
      <c r="F29" s="17" t="s">
        <v>204</v>
      </c>
      <c r="G29" s="17" t="s">
        <v>205</v>
      </c>
      <c r="H29" s="17" t="s">
        <v>206</v>
      </c>
      <c r="I29" s="17" t="s">
        <v>207</v>
      </c>
      <c r="J29" s="1"/>
    </row>
    <row r="30" spans="2:17">
      <c r="B30" s="1"/>
      <c r="C30" s="10" t="s">
        <v>27</v>
      </c>
      <c r="D30" s="15"/>
      <c r="E30" s="17" t="s">
        <v>198</v>
      </c>
      <c r="F30" s="17" t="s">
        <v>199</v>
      </c>
      <c r="G30" s="17" t="s">
        <v>200</v>
      </c>
      <c r="H30" s="17" t="s">
        <v>201</v>
      </c>
      <c r="I30" s="17" t="s">
        <v>202</v>
      </c>
      <c r="J30" s="1"/>
    </row>
    <row r="31" spans="2:17">
      <c r="B31" s="1"/>
      <c r="C31" s="10" t="s">
        <v>28</v>
      </c>
      <c r="D31" s="15"/>
      <c r="E31" s="17" t="s">
        <v>178</v>
      </c>
      <c r="F31" s="17" t="s">
        <v>179</v>
      </c>
      <c r="G31" s="17" t="s">
        <v>180</v>
      </c>
      <c r="H31" s="17" t="s">
        <v>181</v>
      </c>
      <c r="I31" s="17" t="s">
        <v>182</v>
      </c>
      <c r="J31" s="1"/>
    </row>
    <row r="32" spans="2:17">
      <c r="B32" s="1"/>
      <c r="C32" s="10" t="s">
        <v>29</v>
      </c>
      <c r="D32" s="15"/>
      <c r="E32" s="17" t="s">
        <v>183</v>
      </c>
      <c r="F32" s="17" t="s">
        <v>184</v>
      </c>
      <c r="G32" s="17" t="s">
        <v>185</v>
      </c>
      <c r="H32" s="17" t="s">
        <v>186</v>
      </c>
      <c r="I32" s="17" t="s">
        <v>187</v>
      </c>
      <c r="J32" s="1"/>
    </row>
    <row r="33" spans="2:10">
      <c r="B33" s="1"/>
      <c r="C33" s="10" t="s">
        <v>30</v>
      </c>
      <c r="D33" s="15"/>
      <c r="E33" s="17" t="s">
        <v>188</v>
      </c>
      <c r="F33" s="17" t="s">
        <v>189</v>
      </c>
      <c r="G33" s="17" t="s">
        <v>190</v>
      </c>
      <c r="H33" s="17" t="s">
        <v>191</v>
      </c>
      <c r="I33" s="17" t="s">
        <v>192</v>
      </c>
      <c r="J33" s="1"/>
    </row>
    <row r="34" spans="2:10" ht="16.5" thickBot="1">
      <c r="B34" s="1"/>
      <c r="C34" s="10" t="s">
        <v>31</v>
      </c>
      <c r="D34" s="16"/>
      <c r="E34" s="18" t="s">
        <v>193</v>
      </c>
      <c r="F34" s="18" t="s">
        <v>194</v>
      </c>
      <c r="G34" s="18" t="s">
        <v>195</v>
      </c>
      <c r="H34" s="18" t="s">
        <v>196</v>
      </c>
      <c r="I34" s="18" t="s">
        <v>197</v>
      </c>
      <c r="J34" s="1"/>
    </row>
    <row r="35" spans="2:10">
      <c r="B35" s="1"/>
      <c r="C35" s="9"/>
      <c r="D35" s="9"/>
      <c r="E35" s="14">
        <v>0</v>
      </c>
      <c r="F35" s="14">
        <v>1</v>
      </c>
      <c r="G35" s="14">
        <v>2</v>
      </c>
      <c r="H35" s="14">
        <v>3</v>
      </c>
      <c r="I35" s="14">
        <v>4</v>
      </c>
      <c r="J35" s="1"/>
    </row>
    <row r="36" spans="2:10">
      <c r="B36" s="1"/>
      <c r="C36" s="1"/>
      <c r="D36" s="1"/>
      <c r="E36" s="279" t="s">
        <v>23</v>
      </c>
      <c r="F36" s="279"/>
      <c r="G36" s="279"/>
      <c r="H36" s="279"/>
      <c r="I36" s="279"/>
      <c r="J36" s="1"/>
    </row>
    <row r="37" spans="2:10">
      <c r="B37" s="1"/>
      <c r="C37" s="1"/>
      <c r="D37" s="1"/>
      <c r="E37" s="1"/>
      <c r="F37" s="1"/>
      <c r="G37" s="1"/>
      <c r="H37" s="1"/>
      <c r="I37" s="1"/>
      <c r="J37" s="1"/>
    </row>
    <row r="38" spans="2:10">
      <c r="B38" s="1"/>
      <c r="C38" s="1"/>
      <c r="D38" s="1"/>
      <c r="E38" s="1"/>
      <c r="F38" s="1"/>
      <c r="G38" s="1"/>
      <c r="H38" s="1"/>
      <c r="I38" s="1"/>
      <c r="J38" s="1"/>
    </row>
    <row r="39" spans="2:10">
      <c r="B39" s="1"/>
      <c r="C39" s="1"/>
      <c r="D39" s="1"/>
      <c r="E39" s="1"/>
      <c r="F39" s="1"/>
      <c r="G39" s="1"/>
      <c r="H39" s="1"/>
      <c r="I39" s="1"/>
      <c r="J39" s="1"/>
    </row>
    <row r="40" spans="2:10">
      <c r="B40" s="1"/>
      <c r="C40" s="1"/>
      <c r="D40" s="1"/>
      <c r="E40" s="1"/>
      <c r="F40" s="1"/>
      <c r="G40" s="1"/>
      <c r="H40" s="1"/>
      <c r="I40" s="1"/>
      <c r="J40" s="1"/>
    </row>
    <row r="41" spans="2:10">
      <c r="B41" s="1"/>
      <c r="C41" s="1"/>
      <c r="D41" s="1"/>
      <c r="E41" s="1"/>
      <c r="F41" s="1"/>
      <c r="G41" s="1"/>
      <c r="H41" s="1"/>
      <c r="I41" s="1"/>
      <c r="J41" s="1"/>
    </row>
    <row r="42" spans="2:10">
      <c r="B42" s="1"/>
      <c r="C42" s="1"/>
      <c r="D42" s="1"/>
      <c r="E42" s="11" t="s">
        <v>32</v>
      </c>
      <c r="F42" s="1"/>
      <c r="G42" s="1"/>
      <c r="H42" s="1"/>
      <c r="I42" s="1"/>
      <c r="J42" s="1"/>
    </row>
    <row r="43" spans="2:10">
      <c r="B43" s="1"/>
      <c r="C43" s="10" t="s">
        <v>81</v>
      </c>
      <c r="D43" s="15"/>
      <c r="E43" s="17" t="s">
        <v>83</v>
      </c>
      <c r="F43" s="17" t="s">
        <v>84</v>
      </c>
      <c r="G43" s="17" t="s">
        <v>85</v>
      </c>
      <c r="H43" s="17" t="s">
        <v>86</v>
      </c>
      <c r="I43" s="17" t="s">
        <v>87</v>
      </c>
      <c r="J43" s="1"/>
    </row>
    <row r="44" spans="2:10" ht="16.5" thickBot="1">
      <c r="B44" s="1"/>
      <c r="C44" s="10" t="s">
        <v>82</v>
      </c>
      <c r="D44" s="16"/>
      <c r="E44" s="18" t="s">
        <v>88</v>
      </c>
      <c r="F44" s="18" t="s">
        <v>89</v>
      </c>
      <c r="G44" s="18" t="s">
        <v>90</v>
      </c>
      <c r="H44" s="18" t="s">
        <v>91</v>
      </c>
      <c r="I44" s="18" t="s">
        <v>92</v>
      </c>
      <c r="J44" s="1"/>
    </row>
    <row r="45" spans="2:10">
      <c r="B45" s="1"/>
      <c r="C45" s="9"/>
      <c r="D45" s="9"/>
      <c r="E45" s="14">
        <v>0</v>
      </c>
      <c r="F45" s="14">
        <v>1</v>
      </c>
      <c r="G45" s="14">
        <v>2</v>
      </c>
      <c r="H45" s="14">
        <v>3</v>
      </c>
      <c r="I45" s="14">
        <v>4</v>
      </c>
      <c r="J45" s="1"/>
    </row>
    <row r="46" spans="2:10">
      <c r="B46" s="1"/>
      <c r="C46" s="1"/>
      <c r="D46" s="1"/>
      <c r="E46" s="279" t="s">
        <v>23</v>
      </c>
      <c r="F46" s="279"/>
      <c r="G46" s="279"/>
      <c r="H46" s="279"/>
      <c r="I46" s="279"/>
      <c r="J46" s="1"/>
    </row>
    <row r="47" spans="2:10">
      <c r="B47" s="1"/>
      <c r="C47" s="1"/>
      <c r="D47" s="1"/>
      <c r="E47" s="1"/>
      <c r="F47" s="1"/>
      <c r="G47" s="1"/>
      <c r="H47" s="1"/>
      <c r="I47" s="1"/>
      <c r="J47" s="1"/>
    </row>
    <row r="48" spans="2:10">
      <c r="B48" s="1"/>
      <c r="C48" s="1"/>
      <c r="D48" s="1"/>
      <c r="E48" s="1"/>
      <c r="F48" s="1"/>
      <c r="G48" s="1"/>
      <c r="H48" s="1"/>
      <c r="I48" s="1"/>
      <c r="J48" s="1"/>
    </row>
    <row r="49" spans="2:10">
      <c r="B49" s="1"/>
      <c r="C49" s="1"/>
      <c r="D49" s="1"/>
      <c r="E49" s="11" t="s">
        <v>32</v>
      </c>
      <c r="F49" s="1"/>
      <c r="G49" s="1"/>
      <c r="H49" s="1"/>
      <c r="I49" s="1"/>
      <c r="J49" s="1"/>
    </row>
    <row r="50" spans="2:10">
      <c r="B50" s="1"/>
      <c r="C50" s="10" t="s">
        <v>81</v>
      </c>
      <c r="D50" s="15"/>
      <c r="E50" s="17" t="s">
        <v>173</v>
      </c>
      <c r="F50" s="17" t="s">
        <v>174</v>
      </c>
      <c r="G50" s="17" t="s">
        <v>175</v>
      </c>
      <c r="H50" s="17" t="s">
        <v>176</v>
      </c>
      <c r="I50" s="17" t="s">
        <v>177</v>
      </c>
      <c r="J50" s="1"/>
    </row>
    <row r="51" spans="2:10" ht="16.5" thickBot="1">
      <c r="B51" s="1"/>
      <c r="C51" s="10" t="s">
        <v>82</v>
      </c>
      <c r="D51" s="16"/>
      <c r="E51" s="18" t="s">
        <v>168</v>
      </c>
      <c r="F51" s="18" t="s">
        <v>169</v>
      </c>
      <c r="G51" s="18" t="s">
        <v>170</v>
      </c>
      <c r="H51" s="18" t="s">
        <v>171</v>
      </c>
      <c r="I51" s="18" t="s">
        <v>172</v>
      </c>
      <c r="J51" s="1"/>
    </row>
    <row r="52" spans="2:10">
      <c r="B52" s="1"/>
      <c r="C52" s="9"/>
      <c r="D52" s="9"/>
      <c r="E52" s="14">
        <v>0</v>
      </c>
      <c r="F52" s="14">
        <v>1</v>
      </c>
      <c r="G52" s="14">
        <v>2</v>
      </c>
      <c r="H52" s="14">
        <v>3</v>
      </c>
      <c r="I52" s="14">
        <v>4</v>
      </c>
      <c r="J52" s="1"/>
    </row>
    <row r="53" spans="2:10">
      <c r="B53" s="1"/>
      <c r="C53" s="1"/>
      <c r="D53" s="1"/>
      <c r="E53" s="279" t="s">
        <v>23</v>
      </c>
      <c r="F53" s="279"/>
      <c r="G53" s="279"/>
      <c r="H53" s="279"/>
      <c r="I53" s="279"/>
      <c r="J53" s="1"/>
    </row>
    <row r="54" spans="2:10">
      <c r="B54" s="1"/>
      <c r="C54" s="1"/>
      <c r="D54" s="1"/>
      <c r="E54" s="1"/>
      <c r="F54" s="1"/>
      <c r="G54" s="1"/>
      <c r="H54" s="1"/>
      <c r="I54" s="1"/>
      <c r="J54" s="1"/>
    </row>
    <row r="55" spans="2:10">
      <c r="B55" s="1"/>
      <c r="C55" s="1"/>
      <c r="D55" s="1"/>
      <c r="E55" s="1"/>
      <c r="F55" s="1"/>
      <c r="G55" s="1"/>
      <c r="H55" s="1"/>
      <c r="I55" s="1"/>
      <c r="J55" s="1"/>
    </row>
    <row r="56" spans="2:10">
      <c r="C56" s="1"/>
      <c r="D56" s="1"/>
      <c r="E56" s="11" t="s">
        <v>32</v>
      </c>
      <c r="F56" s="1"/>
      <c r="G56" s="1"/>
      <c r="H56" s="1"/>
      <c r="I56" s="1"/>
    </row>
    <row r="57" spans="2:10">
      <c r="C57" s="10" t="s">
        <v>81</v>
      </c>
      <c r="D57" s="15"/>
      <c r="E57" s="17" t="s">
        <v>173</v>
      </c>
      <c r="F57" s="17" t="s">
        <v>174</v>
      </c>
      <c r="G57" s="17" t="s">
        <v>175</v>
      </c>
      <c r="H57" s="17" t="s">
        <v>176</v>
      </c>
      <c r="I57" s="17" t="s">
        <v>177</v>
      </c>
    </row>
    <row r="58" spans="2:10" ht="16.5" thickBot="1">
      <c r="C58" s="10" t="s">
        <v>82</v>
      </c>
      <c r="D58" s="16"/>
      <c r="E58" s="18" t="s">
        <v>168</v>
      </c>
      <c r="F58" s="18" t="s">
        <v>169</v>
      </c>
      <c r="G58" s="18" t="s">
        <v>170</v>
      </c>
      <c r="H58" s="18" t="s">
        <v>171</v>
      </c>
      <c r="I58" s="18" t="s">
        <v>172</v>
      </c>
    </row>
    <row r="59" spans="2:10">
      <c r="C59" s="9"/>
      <c r="D59" s="9"/>
      <c r="E59" s="14">
        <v>0</v>
      </c>
      <c r="F59" s="14">
        <v>1</v>
      </c>
      <c r="G59" s="14">
        <v>2</v>
      </c>
      <c r="H59" s="14">
        <v>3</v>
      </c>
      <c r="I59" s="14">
        <v>4</v>
      </c>
    </row>
    <row r="60" spans="2:10">
      <c r="C60" s="1"/>
      <c r="D60" s="1"/>
      <c r="E60" s="279" t="s">
        <v>23</v>
      </c>
      <c r="F60" s="279"/>
      <c r="G60" s="279"/>
      <c r="H60" s="279"/>
      <c r="I60" s="279"/>
    </row>
    <row r="61" spans="2:10">
      <c r="C61" s="1"/>
      <c r="D61" s="1"/>
      <c r="E61" s="1"/>
      <c r="F61" s="1"/>
      <c r="G61" s="1"/>
      <c r="H61" s="1"/>
      <c r="I61" s="1"/>
    </row>
    <row r="62" spans="2:10">
      <c r="C62" s="1"/>
      <c r="D62" s="1"/>
      <c r="E62" s="11"/>
      <c r="F62" s="1"/>
      <c r="G62" s="1"/>
      <c r="H62" s="1"/>
      <c r="I62" s="1"/>
    </row>
  </sheetData>
  <mergeCells count="5">
    <mergeCell ref="E14:I14"/>
    <mergeCell ref="E36:I36"/>
    <mergeCell ref="E46:I46"/>
    <mergeCell ref="E53:I53"/>
    <mergeCell ref="E60:I6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087FB-E1BD-F743-A0B9-EF6CAA018EA7}">
  <dimension ref="B1:S52"/>
  <sheetViews>
    <sheetView topLeftCell="A34" zoomScale="92" workbookViewId="0">
      <selection activeCell="O28" sqref="O27:S39"/>
    </sheetView>
  </sheetViews>
  <sheetFormatPr defaultColWidth="10.875" defaultRowHeight="15.75"/>
  <cols>
    <col min="2" max="2" width="10.875" style="1"/>
    <col min="3" max="3" width="11.125" bestFit="1" customWidth="1"/>
    <col min="4" max="4" width="2.125" customWidth="1"/>
    <col min="5" max="8" width="20.875" customWidth="1"/>
    <col min="9" max="9" width="7.875" customWidth="1"/>
  </cols>
  <sheetData>
    <row r="1" spans="3:12" s="1" customFormat="1">
      <c r="E1" s="11" t="s">
        <v>216</v>
      </c>
      <c r="F1" s="17"/>
      <c r="G1" s="17"/>
      <c r="H1" s="17"/>
      <c r="I1" s="17"/>
    </row>
    <row r="2" spans="3:12">
      <c r="C2" s="1"/>
      <c r="D2" s="1"/>
      <c r="E2" s="1"/>
      <c r="F2" s="1"/>
      <c r="G2" s="1"/>
      <c r="H2" s="1"/>
      <c r="I2" s="1"/>
      <c r="J2" s="1"/>
    </row>
    <row r="3" spans="3:12">
      <c r="C3" s="1"/>
      <c r="D3" s="1"/>
      <c r="E3" s="1"/>
      <c r="F3" s="1"/>
      <c r="G3" s="1"/>
      <c r="H3" s="1"/>
      <c r="I3" s="1"/>
      <c r="J3" s="1"/>
    </row>
    <row r="4" spans="3:12">
      <c r="C4" s="1"/>
      <c r="D4" s="1"/>
      <c r="E4" s="11" t="s">
        <v>32</v>
      </c>
      <c r="G4" s="1"/>
      <c r="H4" s="1"/>
      <c r="I4" s="1"/>
      <c r="J4" s="1"/>
    </row>
    <row r="5" spans="3:12">
      <c r="C5" s="10" t="s">
        <v>24</v>
      </c>
      <c r="D5" s="15"/>
      <c r="E5" s="17" t="s">
        <v>327</v>
      </c>
      <c r="F5" s="17" t="s">
        <v>328</v>
      </c>
      <c r="G5" s="17" t="s">
        <v>329</v>
      </c>
      <c r="H5" s="17" t="s">
        <v>330</v>
      </c>
      <c r="I5" s="17" t="s">
        <v>331</v>
      </c>
      <c r="J5" s="1"/>
    </row>
    <row r="6" spans="3:12">
      <c r="C6" s="10" t="s">
        <v>25</v>
      </c>
      <c r="D6" s="15"/>
      <c r="E6" s="17" t="s">
        <v>332</v>
      </c>
      <c r="F6" s="17" t="s">
        <v>333</v>
      </c>
      <c r="G6" s="17" t="s">
        <v>334</v>
      </c>
      <c r="H6" s="17" t="s">
        <v>335</v>
      </c>
      <c r="I6" s="17" t="s">
        <v>336</v>
      </c>
      <c r="J6" s="1"/>
    </row>
    <row r="7" spans="3:12">
      <c r="C7" s="10" t="s">
        <v>26</v>
      </c>
      <c r="D7" s="15"/>
      <c r="E7" s="17" t="s">
        <v>337</v>
      </c>
      <c r="F7" s="17" t="s">
        <v>338</v>
      </c>
      <c r="G7" s="17" t="s">
        <v>339</v>
      </c>
      <c r="H7" s="17" t="s">
        <v>340</v>
      </c>
      <c r="I7" s="17" t="s">
        <v>341</v>
      </c>
      <c r="J7" s="1"/>
    </row>
    <row r="8" spans="3:12">
      <c r="C8" s="10" t="s">
        <v>27</v>
      </c>
      <c r="D8" s="15"/>
      <c r="E8" s="17" t="s">
        <v>342</v>
      </c>
      <c r="F8" s="17" t="s">
        <v>343</v>
      </c>
      <c r="G8" s="17" t="s">
        <v>344</v>
      </c>
      <c r="H8" s="17" t="s">
        <v>345</v>
      </c>
      <c r="I8" s="17" t="s">
        <v>346</v>
      </c>
      <c r="J8" s="1"/>
    </row>
    <row r="9" spans="3:12">
      <c r="C9" s="10" t="s">
        <v>28</v>
      </c>
      <c r="D9" s="15"/>
      <c r="E9" s="17" t="s">
        <v>178</v>
      </c>
      <c r="F9" s="17" t="s">
        <v>179</v>
      </c>
      <c r="G9" s="17" t="s">
        <v>180</v>
      </c>
      <c r="H9" s="17" t="s">
        <v>181</v>
      </c>
      <c r="I9" s="17" t="s">
        <v>182</v>
      </c>
      <c r="J9" s="1"/>
    </row>
    <row r="10" spans="3:12">
      <c r="C10" s="10" t="s">
        <v>29</v>
      </c>
      <c r="D10" s="15"/>
      <c r="E10" s="17" t="s">
        <v>347</v>
      </c>
      <c r="F10" s="17" t="s">
        <v>348</v>
      </c>
      <c r="G10" s="17" t="s">
        <v>349</v>
      </c>
      <c r="H10" s="17" t="s">
        <v>350</v>
      </c>
      <c r="I10" s="17" t="s">
        <v>292</v>
      </c>
      <c r="J10" s="1"/>
    </row>
    <row r="11" spans="3:12">
      <c r="C11" s="10" t="s">
        <v>30</v>
      </c>
      <c r="D11" s="15"/>
      <c r="E11" s="17" t="s">
        <v>351</v>
      </c>
      <c r="F11" s="17" t="s">
        <v>352</v>
      </c>
      <c r="G11" s="17" t="s">
        <v>353</v>
      </c>
      <c r="H11" s="17" t="s">
        <v>354</v>
      </c>
      <c r="I11" s="17" t="s">
        <v>355</v>
      </c>
      <c r="J11" s="1"/>
    </row>
    <row r="12" spans="3:12" ht="16.5" thickBot="1">
      <c r="C12" s="10" t="s">
        <v>31</v>
      </c>
      <c r="D12" s="16"/>
      <c r="E12" s="18" t="s">
        <v>356</v>
      </c>
      <c r="F12" s="18" t="s">
        <v>357</v>
      </c>
      <c r="G12" s="18" t="s">
        <v>358</v>
      </c>
      <c r="H12" s="18" t="s">
        <v>359</v>
      </c>
      <c r="I12" s="18" t="s">
        <v>360</v>
      </c>
      <c r="J12" s="1"/>
    </row>
    <row r="13" spans="3:12">
      <c r="C13" s="9"/>
      <c r="D13" s="9"/>
      <c r="E13" s="14">
        <v>0</v>
      </c>
      <c r="F13" s="14">
        <v>1</v>
      </c>
      <c r="G13" s="14">
        <v>2</v>
      </c>
      <c r="H13" s="14">
        <v>3</v>
      </c>
      <c r="I13" s="14">
        <v>4</v>
      </c>
      <c r="J13" s="1"/>
    </row>
    <row r="14" spans="3:12">
      <c r="C14" s="1"/>
      <c r="D14" s="1"/>
      <c r="E14" s="279" t="s">
        <v>23</v>
      </c>
      <c r="F14" s="279"/>
      <c r="G14" s="279"/>
      <c r="H14" s="279"/>
      <c r="I14" s="279"/>
      <c r="J14" s="1"/>
    </row>
    <row r="15" spans="3:12" s="1" customFormat="1">
      <c r="E15" s="11" t="s">
        <v>217</v>
      </c>
    </row>
    <row r="16" spans="3:12"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3:12"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3:12" ht="21.95" customHeight="1">
      <c r="C18" s="1"/>
      <c r="D18" s="1"/>
      <c r="E18" s="11" t="s">
        <v>32</v>
      </c>
      <c r="F18" s="1"/>
      <c r="G18" s="1"/>
      <c r="H18" s="1"/>
      <c r="I18" s="1"/>
      <c r="J18" s="1"/>
      <c r="K18" s="1"/>
      <c r="L18" s="1"/>
    </row>
    <row r="19" spans="3:12">
      <c r="C19" s="10" t="s">
        <v>24</v>
      </c>
      <c r="D19" s="15"/>
      <c r="E19" s="17" t="s">
        <v>288</v>
      </c>
      <c r="F19" s="17" t="s">
        <v>289</v>
      </c>
      <c r="G19" s="17" t="s">
        <v>290</v>
      </c>
      <c r="H19" s="17" t="s">
        <v>291</v>
      </c>
      <c r="I19" s="17" t="s">
        <v>292</v>
      </c>
      <c r="J19" s="1"/>
      <c r="K19" s="1"/>
      <c r="L19" s="1"/>
    </row>
    <row r="20" spans="3:12">
      <c r="C20" s="10" t="s">
        <v>25</v>
      </c>
      <c r="D20" s="15"/>
      <c r="E20" s="17" t="s">
        <v>293</v>
      </c>
      <c r="F20" s="17" t="s">
        <v>294</v>
      </c>
      <c r="G20" s="17" t="s">
        <v>295</v>
      </c>
      <c r="H20" s="17" t="s">
        <v>296</v>
      </c>
      <c r="I20" s="17" t="s">
        <v>297</v>
      </c>
      <c r="J20" s="1"/>
      <c r="K20" s="1"/>
      <c r="L20" s="1"/>
    </row>
    <row r="21" spans="3:12">
      <c r="C21" s="10" t="s">
        <v>26</v>
      </c>
      <c r="D21" s="15"/>
      <c r="E21" s="17" t="s">
        <v>298</v>
      </c>
      <c r="F21" s="17" t="s">
        <v>299</v>
      </c>
      <c r="G21" s="17" t="s">
        <v>300</v>
      </c>
      <c r="H21" s="17" t="s">
        <v>301</v>
      </c>
      <c r="I21" s="17" t="s">
        <v>302</v>
      </c>
      <c r="J21" s="1"/>
      <c r="K21" s="1"/>
      <c r="L21" s="1"/>
    </row>
    <row r="22" spans="3:12">
      <c r="C22" s="10" t="s">
        <v>27</v>
      </c>
      <c r="D22" s="15"/>
      <c r="E22" s="17" t="s">
        <v>303</v>
      </c>
      <c r="F22" s="17" t="s">
        <v>304</v>
      </c>
      <c r="G22" s="17" t="s">
        <v>305</v>
      </c>
      <c r="H22" s="17" t="s">
        <v>306</v>
      </c>
      <c r="I22" s="17" t="s">
        <v>212</v>
      </c>
      <c r="J22" s="1"/>
      <c r="K22" s="1"/>
      <c r="L22" s="1"/>
    </row>
    <row r="23" spans="3:12">
      <c r="C23" s="10" t="s">
        <v>28</v>
      </c>
      <c r="D23" s="15"/>
      <c r="E23" s="17" t="s">
        <v>307</v>
      </c>
      <c r="F23" s="17" t="s">
        <v>308</v>
      </c>
      <c r="G23" s="17" t="s">
        <v>309</v>
      </c>
      <c r="H23" s="17" t="s">
        <v>310</v>
      </c>
      <c r="I23" s="17" t="s">
        <v>311</v>
      </c>
      <c r="J23" s="1"/>
      <c r="K23" s="1"/>
      <c r="L23" s="1"/>
    </row>
    <row r="24" spans="3:12">
      <c r="C24" s="10" t="s">
        <v>29</v>
      </c>
      <c r="D24" s="15"/>
      <c r="E24" s="17" t="s">
        <v>312</v>
      </c>
      <c r="F24" s="17" t="s">
        <v>313</v>
      </c>
      <c r="G24" s="17" t="s">
        <v>314</v>
      </c>
      <c r="H24" s="17" t="s">
        <v>315</v>
      </c>
      <c r="I24" s="17" t="s">
        <v>316</v>
      </c>
      <c r="J24" s="1"/>
      <c r="K24" s="1"/>
      <c r="L24" s="1"/>
    </row>
    <row r="25" spans="3:12">
      <c r="C25" s="10" t="s">
        <v>30</v>
      </c>
      <c r="D25" s="15"/>
      <c r="E25" s="17" t="s">
        <v>317</v>
      </c>
      <c r="F25" s="17" t="s">
        <v>318</v>
      </c>
      <c r="G25" s="17" t="s">
        <v>319</v>
      </c>
      <c r="H25" s="17" t="s">
        <v>320</v>
      </c>
      <c r="I25" s="17" t="s">
        <v>321</v>
      </c>
      <c r="J25" s="1"/>
      <c r="K25" s="1"/>
      <c r="L25" s="1"/>
    </row>
    <row r="26" spans="3:12" ht="16.5" thickBot="1">
      <c r="C26" s="10" t="s">
        <v>31</v>
      </c>
      <c r="D26" s="16"/>
      <c r="E26" s="18" t="s">
        <v>322</v>
      </c>
      <c r="F26" s="18" t="s">
        <v>323</v>
      </c>
      <c r="G26" s="18" t="s">
        <v>324</v>
      </c>
      <c r="H26" s="18" t="s">
        <v>325</v>
      </c>
      <c r="I26" s="18" t="s">
        <v>326</v>
      </c>
      <c r="J26" s="1"/>
      <c r="K26" s="1"/>
      <c r="L26" s="1"/>
    </row>
    <row r="27" spans="3:12">
      <c r="C27" s="9"/>
      <c r="D27" s="9"/>
      <c r="E27" s="14">
        <v>0</v>
      </c>
      <c r="F27" s="14">
        <v>1</v>
      </c>
      <c r="G27" s="14">
        <v>2</v>
      </c>
      <c r="H27" s="14">
        <v>3</v>
      </c>
      <c r="I27" s="14">
        <v>4</v>
      </c>
      <c r="J27" s="1"/>
      <c r="K27" s="1"/>
      <c r="L27" s="1"/>
    </row>
    <row r="28" spans="3:12">
      <c r="C28" s="1"/>
      <c r="D28" s="1"/>
      <c r="E28" s="279" t="s">
        <v>23</v>
      </c>
      <c r="F28" s="279"/>
      <c r="G28" s="279"/>
      <c r="H28" s="279"/>
      <c r="I28" s="279"/>
      <c r="J28" s="1"/>
      <c r="K28" s="1"/>
      <c r="L28" s="1"/>
    </row>
    <row r="29" spans="3:12"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3:12"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3:12">
      <c r="C31" s="1"/>
      <c r="D31" s="1"/>
      <c r="E31" s="1"/>
      <c r="F31" s="1"/>
      <c r="G31" s="1"/>
      <c r="H31" s="1"/>
      <c r="I31" s="1"/>
      <c r="J31" s="1"/>
    </row>
    <row r="32" spans="3:12">
      <c r="C32" s="1"/>
      <c r="D32" s="1"/>
      <c r="E32" s="1"/>
      <c r="F32" s="1"/>
      <c r="G32" s="1"/>
      <c r="H32" s="1"/>
      <c r="I32" s="1"/>
      <c r="J32" s="1"/>
    </row>
    <row r="33" spans="3:19">
      <c r="C33" s="1"/>
      <c r="D33" s="1"/>
      <c r="E33" s="11" t="s">
        <v>216</v>
      </c>
      <c r="F33" s="1"/>
      <c r="G33" s="1"/>
      <c r="H33" s="1"/>
      <c r="I33" s="1"/>
      <c r="J33" s="1"/>
    </row>
    <row r="34" spans="3:19">
      <c r="C34" s="1"/>
      <c r="D34" s="1"/>
      <c r="E34" s="1"/>
      <c r="F34" s="1"/>
      <c r="G34" s="1"/>
      <c r="H34" s="1"/>
      <c r="I34" s="1"/>
      <c r="J34" s="1"/>
    </row>
    <row r="35" spans="3:19">
      <c r="C35" s="1"/>
      <c r="D35" s="1"/>
      <c r="E35" s="1"/>
      <c r="F35" s="1"/>
      <c r="G35" s="1"/>
      <c r="H35" s="1"/>
      <c r="I35" s="1"/>
      <c r="J35" s="1"/>
    </row>
    <row r="36" spans="3:19">
      <c r="C36" s="1"/>
      <c r="D36" s="1"/>
      <c r="E36" s="11" t="s">
        <v>32</v>
      </c>
      <c r="F36" s="1"/>
      <c r="G36" s="1"/>
      <c r="H36" s="1"/>
      <c r="I36" s="1"/>
      <c r="J36" s="1"/>
      <c r="N36" s="75"/>
      <c r="O36" s="76"/>
      <c r="P36" s="76"/>
      <c r="Q36" s="76"/>
      <c r="R36" s="76"/>
      <c r="S36" s="76"/>
    </row>
    <row r="37" spans="3:19">
      <c r="C37" s="10" t="s">
        <v>81</v>
      </c>
      <c r="D37" s="15"/>
      <c r="E37" s="17" t="s">
        <v>361</v>
      </c>
      <c r="F37" s="17" t="s">
        <v>362</v>
      </c>
      <c r="G37" s="17" t="s">
        <v>363</v>
      </c>
      <c r="H37" s="17" t="s">
        <v>364</v>
      </c>
      <c r="I37" s="17" t="s">
        <v>365</v>
      </c>
      <c r="J37" s="1"/>
      <c r="N37" s="75"/>
      <c r="O37" s="76"/>
      <c r="P37" s="76"/>
      <c r="Q37" s="76"/>
      <c r="R37" s="76"/>
      <c r="S37" s="76"/>
    </row>
    <row r="38" spans="3:19" ht="16.5" thickBot="1">
      <c r="C38" s="10" t="s">
        <v>82</v>
      </c>
      <c r="D38" s="16"/>
      <c r="E38" s="18" t="s">
        <v>366</v>
      </c>
      <c r="F38" s="18" t="s">
        <v>367</v>
      </c>
      <c r="G38" s="18" t="s">
        <v>368</v>
      </c>
      <c r="H38" s="18" t="s">
        <v>369</v>
      </c>
      <c r="I38" s="18" t="s">
        <v>370</v>
      </c>
      <c r="J38" s="1"/>
    </row>
    <row r="39" spans="3:19">
      <c r="C39" s="9"/>
      <c r="D39" s="9"/>
      <c r="E39" s="14">
        <v>0</v>
      </c>
      <c r="F39" s="14">
        <v>1</v>
      </c>
      <c r="G39" s="14">
        <v>2</v>
      </c>
      <c r="H39" s="14">
        <v>3</v>
      </c>
      <c r="I39" s="14">
        <v>4</v>
      </c>
      <c r="J39" s="1"/>
    </row>
    <row r="40" spans="3:19">
      <c r="C40" s="1"/>
      <c r="D40" s="1"/>
      <c r="E40" s="279" t="s">
        <v>23</v>
      </c>
      <c r="F40" s="279"/>
      <c r="G40" s="279"/>
      <c r="H40" s="279"/>
      <c r="I40" s="279"/>
      <c r="J40" s="1"/>
    </row>
    <row r="41" spans="3:19">
      <c r="C41" s="1"/>
      <c r="D41" s="1"/>
      <c r="E41" s="1"/>
      <c r="F41" s="1"/>
      <c r="G41" s="1"/>
      <c r="H41" s="1"/>
      <c r="I41" s="1"/>
      <c r="J41" s="1"/>
    </row>
    <row r="42" spans="3:19">
      <c r="C42" s="1"/>
      <c r="D42" s="1"/>
      <c r="E42" s="11" t="s">
        <v>217</v>
      </c>
      <c r="F42" s="1"/>
      <c r="G42" s="1"/>
      <c r="H42" s="1"/>
      <c r="I42" s="1"/>
      <c r="J42" s="1"/>
    </row>
    <row r="43" spans="3:19">
      <c r="C43" s="1"/>
      <c r="D43" s="1"/>
      <c r="E43" s="1"/>
      <c r="F43" s="1"/>
      <c r="G43" s="1"/>
      <c r="H43" s="1"/>
      <c r="I43" s="1"/>
      <c r="J43" s="1"/>
    </row>
    <row r="44" spans="3:19">
      <c r="C44" s="1"/>
      <c r="D44" s="1"/>
      <c r="E44" s="1"/>
      <c r="F44" s="1"/>
      <c r="G44" s="1"/>
      <c r="H44" s="1"/>
      <c r="I44" s="1"/>
      <c r="J44" s="1"/>
    </row>
    <row r="45" spans="3:19">
      <c r="C45" s="1"/>
      <c r="D45" s="1"/>
      <c r="E45" s="11" t="s">
        <v>32</v>
      </c>
      <c r="F45" s="1"/>
      <c r="G45" s="1"/>
      <c r="H45" s="1"/>
      <c r="I45" s="1"/>
      <c r="J45" s="1"/>
    </row>
    <row r="46" spans="3:19">
      <c r="C46" s="10" t="s">
        <v>81</v>
      </c>
      <c r="D46" s="15"/>
      <c r="E46" s="17" t="s">
        <v>371</v>
      </c>
      <c r="F46" s="17" t="s">
        <v>372</v>
      </c>
      <c r="G46" s="17" t="s">
        <v>373</v>
      </c>
      <c r="H46" s="17" t="s">
        <v>374</v>
      </c>
      <c r="I46" s="17" t="s">
        <v>375</v>
      </c>
      <c r="J46" s="1"/>
    </row>
    <row r="47" spans="3:19" ht="16.5" thickBot="1">
      <c r="C47" s="10" t="s">
        <v>82</v>
      </c>
      <c r="D47" s="16"/>
      <c r="E47" s="18" t="s">
        <v>376</v>
      </c>
      <c r="F47" s="18" t="s">
        <v>377</v>
      </c>
      <c r="G47" s="18" t="s">
        <v>378</v>
      </c>
      <c r="H47" s="18" t="s">
        <v>379</v>
      </c>
      <c r="I47" s="18" t="s">
        <v>380</v>
      </c>
      <c r="J47" s="1"/>
    </row>
    <row r="48" spans="3:19">
      <c r="C48" s="9"/>
      <c r="D48" s="9"/>
      <c r="E48" s="14">
        <v>0</v>
      </c>
      <c r="F48" s="14">
        <v>1</v>
      </c>
      <c r="G48" s="14">
        <v>2</v>
      </c>
      <c r="H48" s="14">
        <v>3</v>
      </c>
      <c r="I48" s="14">
        <v>4</v>
      </c>
      <c r="J48" s="1"/>
    </row>
    <row r="49" spans="3:10">
      <c r="C49" s="1"/>
      <c r="D49" s="1"/>
      <c r="E49" s="279" t="s">
        <v>23</v>
      </c>
      <c r="F49" s="279"/>
      <c r="G49" s="279"/>
      <c r="H49" s="279"/>
      <c r="I49" s="279"/>
      <c r="J49" s="1"/>
    </row>
    <row r="50" spans="3:10">
      <c r="C50" s="1"/>
      <c r="D50" s="1"/>
      <c r="E50" s="1"/>
      <c r="F50" s="1"/>
      <c r="G50" s="1"/>
      <c r="H50" s="1"/>
      <c r="I50" s="1"/>
      <c r="J50" s="1"/>
    </row>
    <row r="51" spans="3:10">
      <c r="C51" s="1"/>
      <c r="D51" s="1"/>
      <c r="E51" s="11"/>
      <c r="F51" s="1"/>
      <c r="G51" s="1"/>
      <c r="H51" s="1"/>
      <c r="I51" s="1"/>
      <c r="J51" s="1"/>
    </row>
    <row r="52" spans="3:10">
      <c r="J52" s="1"/>
    </row>
  </sheetData>
  <mergeCells count="4">
    <mergeCell ref="E28:I28"/>
    <mergeCell ref="E40:I40"/>
    <mergeCell ref="E49:I49"/>
    <mergeCell ref="E14:I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B9A30-ADB7-684F-97C4-16F99DBFED68}">
  <dimension ref="A1:AH52"/>
  <sheetViews>
    <sheetView zoomScale="106" workbookViewId="0">
      <selection activeCell="AD55" sqref="AD55"/>
    </sheetView>
  </sheetViews>
  <sheetFormatPr defaultColWidth="10.875" defaultRowHeight="15.75"/>
  <cols>
    <col min="2" max="2" width="6.375" hidden="1" customWidth="1"/>
    <col min="3" max="3" width="1" hidden="1" customWidth="1"/>
    <col min="4" max="6" width="8.875" hidden="1" customWidth="1"/>
    <col min="7" max="7" width="9.875" hidden="1" customWidth="1"/>
    <col min="8" max="8" width="1" hidden="1" customWidth="1"/>
    <col min="9" max="11" width="8.875" hidden="1" customWidth="1"/>
    <col min="12" max="12" width="9.875" hidden="1" customWidth="1"/>
    <col min="13" max="13" width="1" style="1" hidden="1" customWidth="1"/>
    <col min="14" max="14" width="14" style="1" hidden="1" customWidth="1"/>
    <col min="15" max="15" width="12.875" hidden="1" customWidth="1"/>
    <col min="16" max="16" width="10.875" customWidth="1"/>
    <col min="17" max="17" width="7.625" customWidth="1"/>
    <col min="18" max="18" width="1" customWidth="1"/>
    <col min="19" max="22" width="10.375" customWidth="1"/>
    <col min="23" max="23" width="1" style="1" customWidth="1"/>
    <col min="24" max="24" width="15.5" style="1" customWidth="1"/>
    <col min="25" max="25" width="2.5" style="1" customWidth="1"/>
    <col min="26" max="26" width="18.125" bestFit="1" customWidth="1"/>
    <col min="27" max="27" width="10.875" style="1"/>
  </cols>
  <sheetData>
    <row r="1" spans="1:34" s="1" customFormat="1" ht="22.5">
      <c r="B1" s="1" t="s">
        <v>216</v>
      </c>
      <c r="P1" s="218"/>
      <c r="Q1" s="219" t="s">
        <v>393</v>
      </c>
      <c r="R1" s="218"/>
      <c r="S1" s="218"/>
      <c r="T1" s="218"/>
      <c r="U1" s="218"/>
      <c r="V1" s="218"/>
      <c r="W1" s="218"/>
      <c r="X1" s="218"/>
      <c r="Y1" s="218"/>
      <c r="Z1" s="218"/>
    </row>
    <row r="2" spans="1:3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O2" s="1"/>
      <c r="P2" s="1"/>
      <c r="Q2" s="1"/>
      <c r="R2" s="1"/>
      <c r="S2" s="1"/>
      <c r="T2" s="1"/>
      <c r="U2" s="1"/>
      <c r="V2" s="1"/>
      <c r="Z2" s="1"/>
    </row>
    <row r="3" spans="1:34" ht="16.5" thickBot="1">
      <c r="A3" s="1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34" ht="15.95" hidden="1" customHeight="1">
      <c r="A4" s="1"/>
      <c r="B4" s="36"/>
      <c r="C4" s="36"/>
      <c r="D4" s="59" t="s">
        <v>230</v>
      </c>
      <c r="E4" s="58"/>
      <c r="F4" s="58"/>
      <c r="G4" s="58"/>
      <c r="H4" s="37"/>
      <c r="I4" s="59" t="s">
        <v>229</v>
      </c>
      <c r="J4" s="58"/>
      <c r="K4" s="58"/>
      <c r="L4" s="58"/>
      <c r="M4" s="37"/>
      <c r="N4" s="52" t="s">
        <v>228</v>
      </c>
      <c r="O4" s="52" t="s">
        <v>227</v>
      </c>
      <c r="P4" s="280" t="s">
        <v>389</v>
      </c>
      <c r="Q4" s="280" t="s">
        <v>226</v>
      </c>
      <c r="R4" s="56"/>
      <c r="S4" s="280" t="s">
        <v>420</v>
      </c>
      <c r="T4" s="280" t="s">
        <v>224</v>
      </c>
      <c r="U4" s="280" t="s">
        <v>422</v>
      </c>
      <c r="V4" s="280" t="s">
        <v>222</v>
      </c>
      <c r="W4" s="53"/>
      <c r="X4" s="52" t="s">
        <v>228</v>
      </c>
      <c r="Y4" s="52"/>
      <c r="Z4" s="52" t="s">
        <v>423</v>
      </c>
      <c r="AC4" s="200"/>
      <c r="AD4" s="200"/>
      <c r="AE4" s="200"/>
      <c r="AF4" s="200"/>
      <c r="AG4" s="200"/>
      <c r="AH4" s="200"/>
    </row>
    <row r="5" spans="1:34" ht="15.95" hidden="1" customHeight="1">
      <c r="A5" s="1"/>
      <c r="B5" s="51" t="s">
        <v>226</v>
      </c>
      <c r="C5" s="51"/>
      <c r="D5" s="51" t="s">
        <v>225</v>
      </c>
      <c r="E5" s="51" t="s">
        <v>224</v>
      </c>
      <c r="F5" s="51" t="s">
        <v>223</v>
      </c>
      <c r="G5" s="51" t="s">
        <v>222</v>
      </c>
      <c r="H5" s="50"/>
      <c r="I5" s="49" t="s">
        <v>225</v>
      </c>
      <c r="J5" s="49" t="s">
        <v>224</v>
      </c>
      <c r="K5" s="49" t="s">
        <v>223</v>
      </c>
      <c r="L5" s="49" t="s">
        <v>222</v>
      </c>
      <c r="M5" s="37"/>
      <c r="N5" s="49" t="s">
        <v>221</v>
      </c>
      <c r="O5" s="48" t="s">
        <v>220</v>
      </c>
      <c r="P5" s="281"/>
      <c r="Q5" s="281"/>
      <c r="R5" s="51"/>
      <c r="S5" s="281"/>
      <c r="T5" s="281"/>
      <c r="U5" s="281"/>
      <c r="V5" s="281"/>
      <c r="W5" s="58"/>
      <c r="X5" s="49" t="s">
        <v>421</v>
      </c>
      <c r="Y5" s="49"/>
      <c r="Z5" s="48" t="s">
        <v>220</v>
      </c>
      <c r="AC5" s="200"/>
      <c r="AD5" s="200"/>
      <c r="AE5" s="200"/>
      <c r="AF5" s="200"/>
      <c r="AG5" s="200"/>
      <c r="AH5" s="200"/>
    </row>
    <row r="6" spans="1:34" ht="15.95" hidden="1" customHeight="1">
      <c r="A6" s="1"/>
      <c r="B6" s="47">
        <v>1</v>
      </c>
      <c r="C6" s="47"/>
      <c r="D6" s="57">
        <v>3977</v>
      </c>
      <c r="E6" s="57">
        <v>12</v>
      </c>
      <c r="F6" s="45">
        <v>3.0173497611264799E-3</v>
      </c>
      <c r="G6" s="45">
        <v>0.996982650238874</v>
      </c>
      <c r="H6" s="37"/>
      <c r="I6" s="57">
        <v>3371</v>
      </c>
      <c r="J6" s="57">
        <v>339</v>
      </c>
      <c r="K6" s="45">
        <v>0.10056363097003899</v>
      </c>
      <c r="L6" s="45">
        <v>0.89943636902996105</v>
      </c>
      <c r="M6" s="37"/>
      <c r="N6" s="44">
        <f>K6/F6</f>
        <v>33.328463363987062</v>
      </c>
      <c r="O6" s="43" t="s">
        <v>219</v>
      </c>
      <c r="P6" s="282" t="s">
        <v>230</v>
      </c>
      <c r="Q6" s="203">
        <v>1</v>
      </c>
      <c r="R6" s="203"/>
      <c r="S6" s="204">
        <v>3078</v>
      </c>
      <c r="T6" s="214">
        <v>91</v>
      </c>
      <c r="U6" s="205">
        <v>2.9564650000000001E-2</v>
      </c>
      <c r="V6" s="205">
        <v>0.9704353</v>
      </c>
      <c r="W6" s="62"/>
      <c r="X6" s="210" t="s">
        <v>3</v>
      </c>
      <c r="Y6" s="210"/>
      <c r="Z6" s="212" t="s">
        <v>3</v>
      </c>
      <c r="AC6" s="200">
        <v>0</v>
      </c>
      <c r="AD6" s="200">
        <v>2502</v>
      </c>
      <c r="AE6" s="200">
        <v>417</v>
      </c>
      <c r="AF6" s="200">
        <v>0</v>
      </c>
      <c r="AG6" s="200">
        <v>0.16666666999999999</v>
      </c>
      <c r="AH6" s="200">
        <v>0.83333330000000005</v>
      </c>
    </row>
    <row r="7" spans="1:34" hidden="1">
      <c r="A7" s="1"/>
      <c r="B7" s="47">
        <v>2</v>
      </c>
      <c r="C7" s="47"/>
      <c r="D7" s="57">
        <v>3965</v>
      </c>
      <c r="E7" s="57">
        <v>9</v>
      </c>
      <c r="F7" s="45">
        <v>2.2698612862547302E-3</v>
      </c>
      <c r="G7" s="45">
        <v>0.99471963791802898</v>
      </c>
      <c r="H7" s="37"/>
      <c r="I7" s="57">
        <v>3032</v>
      </c>
      <c r="J7" s="57">
        <v>135</v>
      </c>
      <c r="K7" s="45">
        <v>4.4525065963060703E-2</v>
      </c>
      <c r="L7" s="45">
        <v>0.85938890536932699</v>
      </c>
      <c r="M7" s="37"/>
      <c r="N7" s="44">
        <f>K7/F7</f>
        <v>19.615765171503956</v>
      </c>
      <c r="O7" s="43" t="s">
        <v>219</v>
      </c>
      <c r="P7" s="283"/>
      <c r="Q7" s="47">
        <v>2</v>
      </c>
      <c r="R7" s="47"/>
      <c r="S7" s="46">
        <v>2987</v>
      </c>
      <c r="T7" s="215">
        <v>86</v>
      </c>
      <c r="U7" s="45">
        <v>2.879143E-2</v>
      </c>
      <c r="V7" s="45">
        <v>0.94249510000000003</v>
      </c>
      <c r="W7" s="37"/>
      <c r="X7" s="211" t="s">
        <v>3</v>
      </c>
      <c r="Y7" s="211"/>
      <c r="Z7" s="202" t="s">
        <v>3</v>
      </c>
      <c r="AC7" s="200">
        <v>1</v>
      </c>
      <c r="AD7" s="200">
        <v>2085</v>
      </c>
      <c r="AE7" s="200">
        <v>193</v>
      </c>
      <c r="AF7" s="200">
        <v>0</v>
      </c>
      <c r="AG7" s="200">
        <v>9.2565949999999994E-2</v>
      </c>
      <c r="AH7" s="200">
        <v>0.75619499999999995</v>
      </c>
    </row>
    <row r="8" spans="1:34" hidden="1">
      <c r="A8" s="1"/>
      <c r="B8" s="47">
        <v>3</v>
      </c>
      <c r="C8" s="47"/>
      <c r="D8" s="57">
        <v>3956</v>
      </c>
      <c r="E8" s="57">
        <v>21</v>
      </c>
      <c r="F8" s="45">
        <v>5.3083923154701703E-3</v>
      </c>
      <c r="G8" s="45">
        <v>0.98943927583605695</v>
      </c>
      <c r="H8" s="37"/>
      <c r="I8" s="57">
        <v>2897</v>
      </c>
      <c r="J8" s="57">
        <v>209</v>
      </c>
      <c r="K8" s="45">
        <v>7.2143596824301007E-2</v>
      </c>
      <c r="L8" s="45">
        <v>0.79738949866508402</v>
      </c>
      <c r="M8" s="37"/>
      <c r="N8" s="44">
        <f>K8/F8</f>
        <v>13.59047947794928</v>
      </c>
      <c r="O8" s="43" t="s">
        <v>219</v>
      </c>
      <c r="P8" s="283"/>
      <c r="Q8" s="47">
        <v>3</v>
      </c>
      <c r="R8" s="47"/>
      <c r="S8" s="46">
        <v>2901</v>
      </c>
      <c r="T8" s="215">
        <v>243</v>
      </c>
      <c r="U8" s="45">
        <v>8.376422E-2</v>
      </c>
      <c r="V8" s="45">
        <v>0.86354779999999998</v>
      </c>
      <c r="W8" s="37"/>
      <c r="X8" s="211" t="s">
        <v>3</v>
      </c>
      <c r="Y8" s="211"/>
      <c r="Z8" s="202" t="s">
        <v>3</v>
      </c>
      <c r="AC8" s="200">
        <v>2</v>
      </c>
      <c r="AD8" s="200">
        <v>1892</v>
      </c>
      <c r="AE8" s="200">
        <v>230</v>
      </c>
      <c r="AF8" s="200">
        <v>0</v>
      </c>
      <c r="AG8" s="200">
        <v>0.12156448</v>
      </c>
      <c r="AH8" s="200">
        <v>0.66426859999999999</v>
      </c>
    </row>
    <row r="9" spans="1:34" hidden="1">
      <c r="A9" s="1"/>
      <c r="B9" s="47">
        <v>4</v>
      </c>
      <c r="C9" s="47"/>
      <c r="D9" s="57">
        <v>3935</v>
      </c>
      <c r="E9" s="57">
        <v>20</v>
      </c>
      <c r="F9" s="45">
        <v>5.0825921219822103E-3</v>
      </c>
      <c r="G9" s="45">
        <v>0.98441035956751299</v>
      </c>
      <c r="H9" s="37"/>
      <c r="I9" s="57">
        <v>2688</v>
      </c>
      <c r="J9" s="57">
        <v>137</v>
      </c>
      <c r="K9" s="45">
        <v>5.0967261904761897E-2</v>
      </c>
      <c r="L9" s="45">
        <v>0.75674873924651398</v>
      </c>
      <c r="M9" s="37"/>
      <c r="N9" s="44">
        <f>K9/F9</f>
        <v>10.027808779761905</v>
      </c>
      <c r="O9" s="43" t="s">
        <v>219</v>
      </c>
      <c r="P9" s="283"/>
      <c r="Q9" s="47">
        <v>4</v>
      </c>
      <c r="R9" s="47"/>
      <c r="S9" s="46">
        <v>2658</v>
      </c>
      <c r="T9" s="215">
        <v>143</v>
      </c>
      <c r="U9" s="45">
        <v>5.3799850000000003E-2</v>
      </c>
      <c r="V9" s="45">
        <v>0.81708899999999995</v>
      </c>
      <c r="W9" s="37"/>
      <c r="X9" s="211" t="s">
        <v>3</v>
      </c>
      <c r="Y9" s="211"/>
      <c r="Z9" s="202" t="s">
        <v>3</v>
      </c>
      <c r="AC9" s="200">
        <v>3</v>
      </c>
      <c r="AD9" s="200">
        <v>1662</v>
      </c>
      <c r="AE9" s="200">
        <v>119</v>
      </c>
      <c r="AF9" s="200">
        <v>1446</v>
      </c>
      <c r="AG9" s="200">
        <v>7.1600479999999994E-2</v>
      </c>
      <c r="AH9" s="200">
        <v>0.61670659999999999</v>
      </c>
    </row>
    <row r="10" spans="1:34" ht="16.5" hidden="1" thickBot="1">
      <c r="A10" s="1"/>
      <c r="B10" s="42">
        <v>5</v>
      </c>
      <c r="C10" s="42"/>
      <c r="D10" s="39">
        <v>199</v>
      </c>
      <c r="E10" s="39">
        <v>0</v>
      </c>
      <c r="F10" s="41">
        <v>0</v>
      </c>
      <c r="G10" s="41">
        <v>0.98441035956751299</v>
      </c>
      <c r="H10" s="40"/>
      <c r="I10" s="39">
        <v>120</v>
      </c>
      <c r="J10" s="39">
        <v>1</v>
      </c>
      <c r="K10" s="41">
        <v>8.3333333333333297E-3</v>
      </c>
      <c r="L10" s="41">
        <v>0.75044249975279298</v>
      </c>
      <c r="M10" s="40"/>
      <c r="N10" s="39">
        <v>0</v>
      </c>
      <c r="O10" s="38" t="s">
        <v>3</v>
      </c>
      <c r="P10" s="281"/>
      <c r="Q10" s="206">
        <v>5</v>
      </c>
      <c r="R10" s="206"/>
      <c r="S10" s="207">
        <v>160</v>
      </c>
      <c r="T10" s="213">
        <v>0</v>
      </c>
      <c r="U10" s="208">
        <v>0</v>
      </c>
      <c r="V10" s="208">
        <v>0.81708899999999995</v>
      </c>
      <c r="W10" s="58"/>
      <c r="X10" s="209" t="s">
        <v>3</v>
      </c>
      <c r="Y10" s="209"/>
      <c r="Z10" s="209" t="s">
        <v>3</v>
      </c>
      <c r="AC10" s="200">
        <v>4</v>
      </c>
      <c r="AD10" s="200">
        <v>97</v>
      </c>
      <c r="AE10" s="200">
        <v>0</v>
      </c>
      <c r="AF10" s="200">
        <v>97</v>
      </c>
      <c r="AG10" s="200">
        <v>0</v>
      </c>
      <c r="AH10" s="200">
        <v>0.61670659999999999</v>
      </c>
    </row>
    <row r="11" spans="1:34" hidden="1">
      <c r="A11" s="1"/>
      <c r="B11" s="47">
        <v>1</v>
      </c>
      <c r="C11" s="47"/>
      <c r="D11" s="57">
        <v>3977</v>
      </c>
      <c r="E11" s="57">
        <v>12</v>
      </c>
      <c r="F11" s="45">
        <v>3.0173497611264799E-3</v>
      </c>
      <c r="G11" s="45">
        <v>0.996982650238874</v>
      </c>
      <c r="H11" s="37"/>
      <c r="I11" s="57">
        <v>3371</v>
      </c>
      <c r="J11" s="57">
        <v>339</v>
      </c>
      <c r="K11" s="45">
        <v>0.10056363097003899</v>
      </c>
      <c r="L11" s="45">
        <v>0.89943636902996105</v>
      </c>
      <c r="M11" s="37"/>
      <c r="N11" s="44">
        <f>K11/F11</f>
        <v>33.328463363987062</v>
      </c>
      <c r="O11" s="43" t="s">
        <v>219</v>
      </c>
      <c r="P11" s="282" t="s">
        <v>419</v>
      </c>
      <c r="Q11" s="203">
        <v>1</v>
      </c>
      <c r="R11" s="203"/>
      <c r="S11" s="204">
        <v>410</v>
      </c>
      <c r="T11" s="214">
        <v>44</v>
      </c>
      <c r="U11" s="205">
        <v>0.10731707</v>
      </c>
      <c r="V11" s="205">
        <v>0.89268289999999995</v>
      </c>
      <c r="W11" s="62"/>
      <c r="X11" s="210">
        <f>U11/U6</f>
        <v>3.6299117358061062</v>
      </c>
      <c r="Y11" s="210"/>
      <c r="Z11" s="220" t="s">
        <v>265</v>
      </c>
      <c r="AC11" s="200"/>
      <c r="AD11" s="200"/>
      <c r="AE11" s="200"/>
      <c r="AF11" s="200"/>
      <c r="AG11" s="200"/>
      <c r="AH11" s="200"/>
    </row>
    <row r="12" spans="1:34" hidden="1">
      <c r="A12" s="1"/>
      <c r="B12" s="47">
        <v>2</v>
      </c>
      <c r="C12" s="47"/>
      <c r="D12" s="57">
        <v>3965</v>
      </c>
      <c r="E12" s="57">
        <v>9</v>
      </c>
      <c r="F12" s="45">
        <v>2.2698612862547302E-3</v>
      </c>
      <c r="G12" s="45">
        <v>0.99471963791802898</v>
      </c>
      <c r="H12" s="37"/>
      <c r="I12" s="57">
        <v>3032</v>
      </c>
      <c r="J12" s="57">
        <v>135</v>
      </c>
      <c r="K12" s="45">
        <v>4.4525065963060703E-2</v>
      </c>
      <c r="L12" s="45">
        <v>0.85938890536932699</v>
      </c>
      <c r="M12" s="37"/>
      <c r="N12" s="44">
        <f>K12/F12</f>
        <v>19.615765171503956</v>
      </c>
      <c r="O12" s="43" t="s">
        <v>219</v>
      </c>
      <c r="P12" s="283"/>
      <c r="Q12" s="47">
        <v>2</v>
      </c>
      <c r="R12" s="47"/>
      <c r="S12" s="46">
        <v>366</v>
      </c>
      <c r="T12" s="215">
        <v>21</v>
      </c>
      <c r="U12" s="45">
        <v>5.7377049999999999E-2</v>
      </c>
      <c r="V12" s="45">
        <v>0.84146339999999997</v>
      </c>
      <c r="W12" s="37"/>
      <c r="X12" s="211">
        <f t="shared" ref="X12:X14" si="0">U12/U7</f>
        <v>1.9928516923265014</v>
      </c>
      <c r="Y12" s="211"/>
      <c r="Z12" s="64" t="s">
        <v>424</v>
      </c>
      <c r="AC12" s="200"/>
      <c r="AD12" s="200"/>
      <c r="AE12" s="200"/>
      <c r="AF12" s="200"/>
      <c r="AG12" s="200"/>
      <c r="AH12" s="200"/>
    </row>
    <row r="13" spans="1:34" hidden="1">
      <c r="A13" s="1"/>
      <c r="B13" s="47">
        <v>3</v>
      </c>
      <c r="C13" s="47"/>
      <c r="D13" s="57">
        <v>3956</v>
      </c>
      <c r="E13" s="57">
        <v>21</v>
      </c>
      <c r="F13" s="45">
        <v>5.3083923154701703E-3</v>
      </c>
      <c r="G13" s="45">
        <v>0.98943927583605695</v>
      </c>
      <c r="H13" s="37"/>
      <c r="I13" s="57">
        <v>2897</v>
      </c>
      <c r="J13" s="57">
        <v>209</v>
      </c>
      <c r="K13" s="45">
        <v>7.2143596824301007E-2</v>
      </c>
      <c r="L13" s="45">
        <v>0.79738949866508402</v>
      </c>
      <c r="M13" s="37"/>
      <c r="N13" s="44">
        <f>K13/F13</f>
        <v>13.59047947794928</v>
      </c>
      <c r="O13" s="43" t="s">
        <v>219</v>
      </c>
      <c r="P13" s="283"/>
      <c r="Q13" s="47">
        <v>3</v>
      </c>
      <c r="R13" s="47"/>
      <c r="S13" s="46">
        <v>345</v>
      </c>
      <c r="T13" s="215">
        <v>26</v>
      </c>
      <c r="U13" s="45">
        <v>7.5362319999999997E-2</v>
      </c>
      <c r="V13" s="45">
        <v>0.77804879999999998</v>
      </c>
      <c r="W13" s="37"/>
      <c r="X13" s="211">
        <f t="shared" si="0"/>
        <v>0.89969583671882813</v>
      </c>
      <c r="Y13" s="211"/>
      <c r="Z13" s="64" t="s">
        <v>425</v>
      </c>
      <c r="AC13" s="200"/>
      <c r="AD13" s="200"/>
      <c r="AE13" s="200"/>
      <c r="AF13" s="200"/>
      <c r="AG13" s="200"/>
      <c r="AH13" s="200"/>
    </row>
    <row r="14" spans="1:34" hidden="1">
      <c r="A14" s="1"/>
      <c r="B14" s="47">
        <v>4</v>
      </c>
      <c r="C14" s="47"/>
      <c r="D14" s="57">
        <v>3935</v>
      </c>
      <c r="E14" s="57">
        <v>20</v>
      </c>
      <c r="F14" s="45">
        <v>5.0825921219822103E-3</v>
      </c>
      <c r="G14" s="45">
        <v>0.98441035956751299</v>
      </c>
      <c r="H14" s="37"/>
      <c r="I14" s="57">
        <v>2688</v>
      </c>
      <c r="J14" s="57">
        <v>137</v>
      </c>
      <c r="K14" s="45">
        <v>5.0967261904761897E-2</v>
      </c>
      <c r="L14" s="45">
        <v>0.75674873924651398</v>
      </c>
      <c r="M14" s="37"/>
      <c r="N14" s="44">
        <f>K14/F14</f>
        <v>10.027808779761905</v>
      </c>
      <c r="O14" s="43" t="s">
        <v>219</v>
      </c>
      <c r="P14" s="283"/>
      <c r="Q14" s="47">
        <v>4</v>
      </c>
      <c r="R14" s="47"/>
      <c r="S14" s="46">
        <v>319</v>
      </c>
      <c r="T14" s="215">
        <v>6</v>
      </c>
      <c r="U14" s="45">
        <v>1.8808780000000001E-2</v>
      </c>
      <c r="V14" s="45">
        <v>0.76341460000000005</v>
      </c>
      <c r="W14" s="37"/>
      <c r="X14" s="211">
        <f t="shared" si="0"/>
        <v>0.34960655094763277</v>
      </c>
      <c r="Y14" s="211"/>
      <c r="Z14" s="64" t="s">
        <v>426</v>
      </c>
    </row>
    <row r="15" spans="1:34" ht="16.5" hidden="1" thickBot="1">
      <c r="A15" s="1"/>
      <c r="B15" s="42">
        <v>5</v>
      </c>
      <c r="C15" s="42"/>
      <c r="D15" s="39">
        <v>199</v>
      </c>
      <c r="E15" s="39">
        <v>0</v>
      </c>
      <c r="F15" s="41">
        <v>0</v>
      </c>
      <c r="G15" s="41">
        <v>0.98441035956751299</v>
      </c>
      <c r="H15" s="40"/>
      <c r="I15" s="39">
        <v>120</v>
      </c>
      <c r="J15" s="39">
        <v>1</v>
      </c>
      <c r="K15" s="41">
        <v>8.3333333333333297E-3</v>
      </c>
      <c r="L15" s="41">
        <v>0.75044249975279298</v>
      </c>
      <c r="M15" s="40"/>
      <c r="N15" s="39">
        <v>0</v>
      </c>
      <c r="O15" s="38" t="s">
        <v>3</v>
      </c>
      <c r="P15" s="281"/>
      <c r="Q15" s="206">
        <v>5</v>
      </c>
      <c r="R15" s="206"/>
      <c r="S15" s="207">
        <v>28</v>
      </c>
      <c r="T15" s="213">
        <v>0</v>
      </c>
      <c r="U15" s="208">
        <v>0</v>
      </c>
      <c r="V15" s="208">
        <v>0.76341460000000005</v>
      </c>
      <c r="W15" s="58"/>
      <c r="X15" s="216" t="s">
        <v>3</v>
      </c>
      <c r="Y15" s="216"/>
      <c r="Z15" s="221" t="s">
        <v>3</v>
      </c>
    </row>
    <row r="16" spans="1:34" hidden="1">
      <c r="A16" s="1"/>
      <c r="B16" s="47">
        <v>1</v>
      </c>
      <c r="C16" s="47"/>
      <c r="D16" s="57">
        <v>3977</v>
      </c>
      <c r="E16" s="57">
        <v>12</v>
      </c>
      <c r="F16" s="45">
        <v>3.0173497611264799E-3</v>
      </c>
      <c r="G16" s="45">
        <v>0.996982650238874</v>
      </c>
      <c r="H16" s="37"/>
      <c r="I16" s="57">
        <v>3371</v>
      </c>
      <c r="J16" s="57">
        <v>339</v>
      </c>
      <c r="K16" s="45">
        <v>0.10056363097003899</v>
      </c>
      <c r="L16" s="45">
        <v>0.89943636902996105</v>
      </c>
      <c r="M16" s="37"/>
      <c r="N16" s="44">
        <f>K16/F16</f>
        <v>33.328463363987062</v>
      </c>
      <c r="O16" s="43" t="s">
        <v>219</v>
      </c>
      <c r="P16" s="282" t="s">
        <v>229</v>
      </c>
      <c r="Q16" s="203">
        <v>1</v>
      </c>
      <c r="R16" s="203"/>
      <c r="S16" s="204">
        <v>2502</v>
      </c>
      <c r="T16" s="204">
        <v>417</v>
      </c>
      <c r="U16" s="205">
        <v>0.16666666999999999</v>
      </c>
      <c r="V16" s="205">
        <v>0.83333330000000005</v>
      </c>
      <c r="W16" s="62"/>
      <c r="X16" s="210">
        <f>U16/U6</f>
        <v>5.6373632023379265</v>
      </c>
      <c r="Y16" s="210"/>
      <c r="Z16" s="220" t="s">
        <v>267</v>
      </c>
      <c r="AC16" s="200"/>
      <c r="AD16" s="200"/>
      <c r="AE16" s="200"/>
      <c r="AF16" s="200"/>
      <c r="AG16" s="200"/>
      <c r="AH16" s="200"/>
    </row>
    <row r="17" spans="1:34" hidden="1">
      <c r="A17" s="1"/>
      <c r="B17" s="47">
        <v>2</v>
      </c>
      <c r="C17" s="47"/>
      <c r="D17" s="57">
        <v>3965</v>
      </c>
      <c r="E17" s="57">
        <v>9</v>
      </c>
      <c r="F17" s="45">
        <v>2.2698612862547302E-3</v>
      </c>
      <c r="G17" s="45">
        <v>0.99471963791802898</v>
      </c>
      <c r="H17" s="37"/>
      <c r="I17" s="57">
        <v>3032</v>
      </c>
      <c r="J17" s="57">
        <v>135</v>
      </c>
      <c r="K17" s="45">
        <v>4.4525065963060703E-2</v>
      </c>
      <c r="L17" s="45">
        <v>0.85938890536932699</v>
      </c>
      <c r="M17" s="37"/>
      <c r="N17" s="44">
        <f>K17/F17</f>
        <v>19.615765171503956</v>
      </c>
      <c r="O17" s="43" t="s">
        <v>219</v>
      </c>
      <c r="P17" s="283"/>
      <c r="Q17" s="47">
        <v>2</v>
      </c>
      <c r="R17" s="47"/>
      <c r="S17" s="46">
        <v>2085</v>
      </c>
      <c r="T17" s="46">
        <v>193</v>
      </c>
      <c r="U17" s="45">
        <v>9.2565949999999994E-2</v>
      </c>
      <c r="V17" s="45">
        <v>0.75619499999999995</v>
      </c>
      <c r="W17" s="37"/>
      <c r="X17" s="211">
        <f t="shared" ref="X17:X19" si="1">U17/U7</f>
        <v>3.2150521874043769</v>
      </c>
      <c r="Y17" s="211"/>
      <c r="Z17" s="64" t="s">
        <v>267</v>
      </c>
      <c r="AC17" s="200"/>
      <c r="AD17" s="200"/>
      <c r="AE17" s="200"/>
      <c r="AF17" s="200"/>
      <c r="AG17" s="200"/>
      <c r="AH17" s="200"/>
    </row>
    <row r="18" spans="1:34" hidden="1">
      <c r="A18" s="1"/>
      <c r="B18" s="47">
        <v>3</v>
      </c>
      <c r="C18" s="47"/>
      <c r="D18" s="57">
        <v>3956</v>
      </c>
      <c r="E18" s="57">
        <v>21</v>
      </c>
      <c r="F18" s="45">
        <v>5.3083923154701703E-3</v>
      </c>
      <c r="G18" s="45">
        <v>0.98943927583605695</v>
      </c>
      <c r="H18" s="37"/>
      <c r="I18" s="57">
        <v>2897</v>
      </c>
      <c r="J18" s="57">
        <v>209</v>
      </c>
      <c r="K18" s="45">
        <v>7.2143596824301007E-2</v>
      </c>
      <c r="L18" s="45">
        <v>0.79738949866508402</v>
      </c>
      <c r="M18" s="37"/>
      <c r="N18" s="44">
        <f>K18/F18</f>
        <v>13.59047947794928</v>
      </c>
      <c r="O18" s="43" t="s">
        <v>219</v>
      </c>
      <c r="P18" s="283"/>
      <c r="Q18" s="47">
        <v>3</v>
      </c>
      <c r="R18" s="47"/>
      <c r="S18" s="46">
        <v>1892</v>
      </c>
      <c r="T18" s="46">
        <v>230</v>
      </c>
      <c r="U18" s="45">
        <v>0.12156448</v>
      </c>
      <c r="V18" s="45">
        <v>0.66426859999999999</v>
      </c>
      <c r="W18" s="37"/>
      <c r="X18" s="211">
        <f t="shared" si="1"/>
        <v>1.4512697664945726</v>
      </c>
      <c r="Y18" s="211"/>
      <c r="Z18" s="64" t="s">
        <v>427</v>
      </c>
      <c r="AC18" s="200"/>
      <c r="AD18" s="200"/>
      <c r="AE18" s="200"/>
      <c r="AF18" s="200"/>
      <c r="AG18" s="200"/>
      <c r="AH18" s="200"/>
    </row>
    <row r="19" spans="1:34" hidden="1">
      <c r="A19" s="1"/>
      <c r="B19" s="47">
        <v>4</v>
      </c>
      <c r="C19" s="47"/>
      <c r="D19" s="57">
        <v>3935</v>
      </c>
      <c r="E19" s="57">
        <v>20</v>
      </c>
      <c r="F19" s="45">
        <v>5.0825921219822103E-3</v>
      </c>
      <c r="G19" s="45">
        <v>0.98441035956751299</v>
      </c>
      <c r="H19" s="37"/>
      <c r="I19" s="57">
        <v>2688</v>
      </c>
      <c r="J19" s="57">
        <v>137</v>
      </c>
      <c r="K19" s="45">
        <v>5.0967261904761897E-2</v>
      </c>
      <c r="L19" s="45">
        <v>0.75674873924651398</v>
      </c>
      <c r="M19" s="37"/>
      <c r="N19" s="44">
        <f>K19/F19</f>
        <v>10.027808779761905</v>
      </c>
      <c r="O19" s="43" t="s">
        <v>219</v>
      </c>
      <c r="P19" s="283"/>
      <c r="Q19" s="47">
        <v>4</v>
      </c>
      <c r="R19" s="47"/>
      <c r="S19" s="46">
        <v>1662</v>
      </c>
      <c r="T19" s="46">
        <v>119</v>
      </c>
      <c r="U19" s="45">
        <v>7.1600479999999994E-2</v>
      </c>
      <c r="V19" s="45">
        <v>0.61670659999999999</v>
      </c>
      <c r="W19" s="37"/>
      <c r="X19" s="211">
        <f t="shared" si="1"/>
        <v>1.3308676511179862</v>
      </c>
      <c r="Y19" s="211"/>
      <c r="Z19" s="64" t="s">
        <v>430</v>
      </c>
    </row>
    <row r="20" spans="1:34" ht="16.5" hidden="1" thickBot="1">
      <c r="A20" s="1"/>
      <c r="B20" s="42">
        <v>5</v>
      </c>
      <c r="C20" s="42"/>
      <c r="D20" s="39">
        <v>199</v>
      </c>
      <c r="E20" s="39">
        <v>0</v>
      </c>
      <c r="F20" s="41">
        <v>0</v>
      </c>
      <c r="G20" s="41">
        <v>0.98441035956751299</v>
      </c>
      <c r="H20" s="40"/>
      <c r="I20" s="39">
        <v>120</v>
      </c>
      <c r="J20" s="39">
        <v>1</v>
      </c>
      <c r="K20" s="41">
        <v>8.3333333333333297E-3</v>
      </c>
      <c r="L20" s="41">
        <v>0.75044249975279298</v>
      </c>
      <c r="M20" s="40"/>
      <c r="N20" s="39">
        <v>0</v>
      </c>
      <c r="O20" s="38" t="s">
        <v>3</v>
      </c>
      <c r="P20" s="284"/>
      <c r="Q20" s="42">
        <v>5</v>
      </c>
      <c r="R20" s="42"/>
      <c r="S20" s="39">
        <v>97</v>
      </c>
      <c r="T20" s="39">
        <v>0</v>
      </c>
      <c r="U20" s="41">
        <v>0</v>
      </c>
      <c r="V20" s="41">
        <v>0.61670659999999999</v>
      </c>
      <c r="W20" s="40"/>
      <c r="X20" s="217" t="s">
        <v>3</v>
      </c>
      <c r="Y20" s="217"/>
      <c r="Z20" s="222" t="s">
        <v>3</v>
      </c>
    </row>
    <row r="21" spans="1:34" hidden="1">
      <c r="A21" s="1"/>
      <c r="B21" s="47"/>
      <c r="C21" s="47"/>
      <c r="D21" s="46"/>
      <c r="E21" s="46"/>
      <c r="F21" s="45"/>
      <c r="G21" s="45"/>
      <c r="H21" s="37"/>
      <c r="I21" s="46"/>
      <c r="J21" s="46"/>
      <c r="K21" s="45"/>
      <c r="L21" s="45"/>
      <c r="M21" s="37"/>
      <c r="N21" s="46"/>
      <c r="O21" s="201"/>
      <c r="P21" s="37" t="s">
        <v>218</v>
      </c>
      <c r="Q21" s="47"/>
      <c r="R21" s="47"/>
      <c r="S21" s="46"/>
      <c r="T21" s="46"/>
      <c r="U21" s="45"/>
      <c r="V21" s="45"/>
      <c r="W21" s="37"/>
      <c r="X21" s="46"/>
      <c r="Y21" s="46"/>
      <c r="Z21" s="201"/>
    </row>
    <row r="22" spans="1:34" hidden="1">
      <c r="A22" s="1"/>
      <c r="B22" s="37" t="s">
        <v>218</v>
      </c>
      <c r="C22" s="1"/>
      <c r="D22" s="1"/>
      <c r="E22" s="1"/>
      <c r="F22" s="1"/>
      <c r="G22" s="1"/>
      <c r="H22" s="1"/>
      <c r="I22" s="1"/>
      <c r="J22" s="1"/>
      <c r="K22" s="1"/>
      <c r="L22" s="1"/>
      <c r="O22" s="1"/>
      <c r="P22" s="1"/>
      <c r="Q22" s="37"/>
      <c r="R22" s="1"/>
      <c r="S22" s="1"/>
      <c r="T22" s="1"/>
      <c r="U22" s="1"/>
      <c r="V22" s="1"/>
      <c r="Z22" s="1"/>
    </row>
    <row r="23" spans="1:34" hidden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O23" s="1"/>
      <c r="P23" s="1"/>
      <c r="Q23" s="1"/>
      <c r="R23" s="1"/>
      <c r="S23" s="1"/>
      <c r="T23" s="1"/>
      <c r="U23" s="1"/>
      <c r="V23" s="1"/>
      <c r="Z23" s="1"/>
    </row>
    <row r="24" spans="1:34" hidden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O24" s="1"/>
      <c r="P24" s="1"/>
      <c r="Q24" s="1"/>
      <c r="R24" s="1"/>
      <c r="S24" s="1"/>
      <c r="T24" s="1"/>
      <c r="U24" s="1"/>
      <c r="V24" s="1"/>
      <c r="Z24" s="1"/>
    </row>
    <row r="25" spans="1:34" hidden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O25" s="1"/>
      <c r="P25" s="1"/>
      <c r="Q25" s="1"/>
      <c r="R25" s="1"/>
      <c r="S25" s="1"/>
      <c r="T25" s="1"/>
      <c r="U25" s="1"/>
      <c r="V25" s="1"/>
      <c r="Z25" s="1"/>
    </row>
    <row r="26" spans="1:34" ht="22.5" hidden="1">
      <c r="A26" s="1"/>
      <c r="B26" s="1"/>
      <c r="C26" s="1"/>
      <c r="D26" s="1"/>
      <c r="E26" s="1"/>
      <c r="F26" s="1"/>
      <c r="G26" s="1"/>
      <c r="H26" s="1"/>
      <c r="I26" s="1"/>
      <c r="J26" s="1"/>
      <c r="P26" s="218"/>
      <c r="Q26" s="219" t="s">
        <v>392</v>
      </c>
      <c r="R26" s="218"/>
      <c r="S26" s="218"/>
      <c r="T26" s="218"/>
      <c r="U26" s="218"/>
      <c r="V26" s="218"/>
      <c r="W26" s="218"/>
      <c r="X26" s="218"/>
      <c r="Y26" s="218"/>
      <c r="Z26" s="218"/>
    </row>
    <row r="27" spans="1:34" hidden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O27" s="1"/>
      <c r="P27" s="1"/>
      <c r="Q27" s="1"/>
      <c r="R27" s="1"/>
      <c r="S27" s="1"/>
      <c r="T27" s="1"/>
      <c r="U27" s="1"/>
      <c r="V27" s="1"/>
      <c r="Z27" s="1"/>
    </row>
    <row r="28" spans="1:34" ht="16.5" hidden="1" thickBo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O28" s="1"/>
      <c r="P28" s="1"/>
      <c r="Q28" s="1"/>
      <c r="R28" s="1"/>
      <c r="S28" s="1"/>
      <c r="T28" s="1"/>
      <c r="U28" s="1"/>
      <c r="V28" s="1"/>
      <c r="Z28" s="1"/>
    </row>
    <row r="29" spans="1:3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O29" s="1"/>
      <c r="P29" s="280" t="s">
        <v>389</v>
      </c>
      <c r="Q29" s="280" t="s">
        <v>226</v>
      </c>
      <c r="R29" s="56"/>
      <c r="S29" s="280" t="s">
        <v>420</v>
      </c>
      <c r="T29" s="280" t="s">
        <v>224</v>
      </c>
      <c r="U29" s="280" t="s">
        <v>422</v>
      </c>
      <c r="V29" s="280" t="s">
        <v>222</v>
      </c>
      <c r="W29" s="53"/>
      <c r="X29" s="52" t="s">
        <v>228</v>
      </c>
      <c r="Y29" s="52"/>
      <c r="Z29" s="52" t="s">
        <v>423</v>
      </c>
    </row>
    <row r="30" spans="1:3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O30" s="1"/>
      <c r="P30" s="281"/>
      <c r="Q30" s="281"/>
      <c r="R30" s="51"/>
      <c r="S30" s="281"/>
      <c r="T30" s="281"/>
      <c r="U30" s="281"/>
      <c r="V30" s="281"/>
      <c r="W30" s="58"/>
      <c r="X30" s="49" t="s">
        <v>421</v>
      </c>
      <c r="Y30" s="49"/>
      <c r="Z30" s="48" t="s">
        <v>220</v>
      </c>
    </row>
    <row r="31" spans="1:34">
      <c r="A31" s="1"/>
      <c r="B31" s="1"/>
      <c r="C31" s="1"/>
      <c r="D31" s="1"/>
      <c r="E31" s="1"/>
      <c r="F31" s="1"/>
      <c r="G31" s="1"/>
      <c r="H31" s="1"/>
      <c r="I31" s="1"/>
      <c r="J31" s="1"/>
      <c r="P31" s="282" t="s">
        <v>230</v>
      </c>
      <c r="Q31" s="203">
        <v>1</v>
      </c>
      <c r="R31" s="203"/>
      <c r="S31" s="204">
        <v>3977</v>
      </c>
      <c r="T31" s="214">
        <v>12</v>
      </c>
      <c r="U31" s="205">
        <v>3.0173499999999998E-3</v>
      </c>
      <c r="V31" s="205">
        <v>0.9969827</v>
      </c>
      <c r="W31" s="62"/>
      <c r="X31" s="210" t="s">
        <v>3</v>
      </c>
      <c r="Y31" s="210"/>
      <c r="Z31" s="223" t="s">
        <v>3</v>
      </c>
      <c r="AC31" s="200">
        <v>0</v>
      </c>
      <c r="AD31" s="200">
        <v>3371</v>
      </c>
      <c r="AE31" s="200">
        <v>339</v>
      </c>
      <c r="AF31" s="200">
        <v>0</v>
      </c>
      <c r="AG31" s="200">
        <v>0.100563631</v>
      </c>
      <c r="AH31" s="200">
        <v>0.89943640000000002</v>
      </c>
    </row>
    <row r="32" spans="1:3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O32" s="1"/>
      <c r="P32" s="283"/>
      <c r="Q32" s="47">
        <v>2</v>
      </c>
      <c r="R32" s="47"/>
      <c r="S32" s="46">
        <v>3965</v>
      </c>
      <c r="T32" s="215">
        <v>9</v>
      </c>
      <c r="U32" s="45">
        <v>2.2698610000000002E-3</v>
      </c>
      <c r="V32" s="45">
        <v>0.99471960000000004</v>
      </c>
      <c r="W32" s="37"/>
      <c r="X32" s="211" t="s">
        <v>3</v>
      </c>
      <c r="Y32" s="211"/>
      <c r="Z32" s="224" t="s">
        <v>3</v>
      </c>
      <c r="AC32" s="200">
        <v>1</v>
      </c>
      <c r="AD32" s="200">
        <v>3032</v>
      </c>
      <c r="AE32" s="200">
        <v>135</v>
      </c>
      <c r="AF32" s="200">
        <v>0</v>
      </c>
      <c r="AG32" s="200">
        <v>4.4525066000000002E-2</v>
      </c>
      <c r="AH32" s="200">
        <v>0.85938890000000001</v>
      </c>
    </row>
    <row r="33" spans="1:3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O33" s="1"/>
      <c r="P33" s="283"/>
      <c r="Q33" s="47">
        <v>3</v>
      </c>
      <c r="R33" s="47"/>
      <c r="S33" s="46">
        <v>3956</v>
      </c>
      <c r="T33" s="215">
        <v>21</v>
      </c>
      <c r="U33" s="45">
        <v>5.3083920000000003E-3</v>
      </c>
      <c r="V33" s="45">
        <v>0.98943930000000002</v>
      </c>
      <c r="W33" s="37"/>
      <c r="X33" s="211" t="s">
        <v>3</v>
      </c>
      <c r="Y33" s="211"/>
      <c r="Z33" s="224" t="s">
        <v>3</v>
      </c>
      <c r="AC33" s="200">
        <v>2</v>
      </c>
      <c r="AD33" s="200">
        <v>2897</v>
      </c>
      <c r="AE33" s="200">
        <v>209</v>
      </c>
      <c r="AF33" s="200">
        <v>0</v>
      </c>
      <c r="AG33" s="200">
        <v>7.2143597000000004E-2</v>
      </c>
      <c r="AH33" s="200">
        <v>0.79738949999999997</v>
      </c>
    </row>
    <row r="34" spans="1: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O34" s="1"/>
      <c r="P34" s="283"/>
      <c r="Q34" s="47">
        <v>4</v>
      </c>
      <c r="R34" s="47"/>
      <c r="S34" s="46">
        <v>3935</v>
      </c>
      <c r="T34" s="215">
        <v>20</v>
      </c>
      <c r="U34" s="45">
        <v>5.0825920000000004E-3</v>
      </c>
      <c r="V34" s="45">
        <v>0.98441040000000002</v>
      </c>
      <c r="W34" s="37"/>
      <c r="X34" s="211" t="s">
        <v>3</v>
      </c>
      <c r="Y34" s="211"/>
      <c r="Z34" s="224" t="s">
        <v>3</v>
      </c>
      <c r="AC34" s="200">
        <v>3</v>
      </c>
      <c r="AD34" s="200">
        <v>2688</v>
      </c>
      <c r="AE34" s="200">
        <v>137</v>
      </c>
      <c r="AF34" s="200">
        <v>2431</v>
      </c>
      <c r="AG34" s="200">
        <v>5.0967261999999999E-2</v>
      </c>
      <c r="AH34" s="200">
        <v>0.75674870000000005</v>
      </c>
    </row>
    <row r="35" spans="1:3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O35" s="1"/>
      <c r="P35" s="281"/>
      <c r="Q35" s="206">
        <v>5</v>
      </c>
      <c r="R35" s="206"/>
      <c r="S35" s="207">
        <v>199</v>
      </c>
      <c r="T35" s="213">
        <v>0</v>
      </c>
      <c r="U35" s="208">
        <v>0</v>
      </c>
      <c r="V35" s="208">
        <v>0.98441040000000002</v>
      </c>
      <c r="W35" s="58"/>
      <c r="X35" s="209" t="s">
        <v>3</v>
      </c>
      <c r="Y35" s="209"/>
      <c r="Z35" s="221" t="s">
        <v>3</v>
      </c>
      <c r="AC35" s="200">
        <v>4</v>
      </c>
      <c r="AD35" s="200">
        <v>120</v>
      </c>
      <c r="AE35" s="200">
        <v>1</v>
      </c>
      <c r="AF35" s="200">
        <v>119</v>
      </c>
      <c r="AG35" s="200">
        <v>8.3333330000000001E-3</v>
      </c>
      <c r="AH35" s="200">
        <v>0.75044250000000001</v>
      </c>
    </row>
    <row r="36" spans="1:34">
      <c r="A36" s="1"/>
      <c r="B36" s="1"/>
      <c r="C36" s="1"/>
      <c r="D36" s="1"/>
      <c r="E36" s="1"/>
      <c r="F36" s="1"/>
      <c r="G36" s="1"/>
      <c r="H36" s="1"/>
      <c r="I36" s="1"/>
      <c r="J36" s="1"/>
      <c r="P36" s="282" t="s">
        <v>419</v>
      </c>
      <c r="Q36" s="203">
        <v>1</v>
      </c>
      <c r="R36" s="203"/>
      <c r="S36" s="204">
        <v>756</v>
      </c>
      <c r="T36" s="214">
        <v>10</v>
      </c>
      <c r="U36" s="205">
        <v>1.322751E-2</v>
      </c>
      <c r="V36" s="205">
        <v>0.98677250000000005</v>
      </c>
      <c r="W36" s="62"/>
      <c r="X36" s="210">
        <f>U36/U31</f>
        <v>4.3838169254478272</v>
      </c>
      <c r="Y36" s="210"/>
      <c r="Z36" s="220" t="s">
        <v>427</v>
      </c>
    </row>
    <row r="37" spans="1:3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O37" s="1"/>
      <c r="P37" s="283"/>
      <c r="Q37" s="47">
        <v>2</v>
      </c>
      <c r="R37" s="47"/>
      <c r="S37" s="46">
        <v>746</v>
      </c>
      <c r="T37" s="215">
        <v>4</v>
      </c>
      <c r="U37" s="45">
        <v>5.36193E-3</v>
      </c>
      <c r="V37" s="45">
        <v>0.98148150000000001</v>
      </c>
      <c r="W37" s="37"/>
      <c r="X37" s="211">
        <f t="shared" ref="X37:X39" si="2">U37/U32</f>
        <v>2.3622283479032413</v>
      </c>
      <c r="Y37" s="211"/>
      <c r="Z37" s="64" t="s">
        <v>428</v>
      </c>
    </row>
    <row r="38" spans="1:3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O38" s="1"/>
      <c r="P38" s="283"/>
      <c r="Q38" s="47">
        <v>3</v>
      </c>
      <c r="R38" s="47"/>
      <c r="S38" s="46">
        <v>742</v>
      </c>
      <c r="T38" s="215">
        <v>9</v>
      </c>
      <c r="U38" s="45">
        <v>1.212938E-2</v>
      </c>
      <c r="V38" s="45">
        <v>0.96957669999999996</v>
      </c>
      <c r="W38" s="37"/>
      <c r="X38" s="211">
        <f t="shared" si="2"/>
        <v>2.2849442919814513</v>
      </c>
      <c r="Y38" s="211"/>
      <c r="Z38" s="64" t="s">
        <v>431</v>
      </c>
    </row>
    <row r="39" spans="1:3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O39" s="1"/>
      <c r="P39" s="283"/>
      <c r="Q39" s="47">
        <v>4</v>
      </c>
      <c r="R39" s="47"/>
      <c r="S39" s="46">
        <v>733</v>
      </c>
      <c r="T39" s="215">
        <v>10</v>
      </c>
      <c r="U39" s="45">
        <v>1.364256E-2</v>
      </c>
      <c r="V39" s="45">
        <v>0.95634920000000001</v>
      </c>
      <c r="W39" s="37"/>
      <c r="X39" s="211">
        <f t="shared" si="2"/>
        <v>2.6841737444201694</v>
      </c>
      <c r="Y39" s="211"/>
      <c r="Z39" s="64" t="s">
        <v>429</v>
      </c>
    </row>
    <row r="40" spans="1:3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O40" s="1"/>
      <c r="P40" s="281"/>
      <c r="Q40" s="206">
        <v>5</v>
      </c>
      <c r="R40" s="206"/>
      <c r="S40" s="207">
        <v>41</v>
      </c>
      <c r="T40" s="213">
        <v>0</v>
      </c>
      <c r="U40" s="208">
        <v>0</v>
      </c>
      <c r="V40" s="208">
        <v>0.95634920000000001</v>
      </c>
      <c r="W40" s="58"/>
      <c r="X40" s="216" t="s">
        <v>3</v>
      </c>
      <c r="Y40" s="216"/>
      <c r="Z40" s="221" t="s">
        <v>3</v>
      </c>
    </row>
    <row r="41" spans="1:34">
      <c r="A41" s="1"/>
      <c r="B41" s="1"/>
      <c r="C41" s="1"/>
      <c r="D41" s="1"/>
      <c r="E41" s="1"/>
      <c r="F41" s="1"/>
      <c r="G41" s="1"/>
      <c r="H41" s="1"/>
      <c r="I41" s="1"/>
      <c r="J41" s="1"/>
      <c r="P41" s="282" t="s">
        <v>229</v>
      </c>
      <c r="Q41" s="203">
        <v>1</v>
      </c>
      <c r="R41" s="203"/>
      <c r="S41" s="204">
        <v>3371</v>
      </c>
      <c r="T41" s="204">
        <v>339</v>
      </c>
      <c r="U41" s="205">
        <v>0.100563631</v>
      </c>
      <c r="V41" s="205">
        <v>0.89943640000000002</v>
      </c>
      <c r="W41" s="62"/>
      <c r="X41" s="210">
        <f>U41/U31</f>
        <v>33.328460735413529</v>
      </c>
      <c r="Y41" s="210"/>
      <c r="Z41" s="220" t="s">
        <v>267</v>
      </c>
    </row>
    <row r="42" spans="1:3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O42" s="1"/>
      <c r="P42" s="283"/>
      <c r="Q42" s="47">
        <v>2</v>
      </c>
      <c r="R42" s="47"/>
      <c r="S42" s="46">
        <v>3032</v>
      </c>
      <c r="T42" s="46">
        <v>135</v>
      </c>
      <c r="U42" s="45">
        <v>4.4525066000000002E-2</v>
      </c>
      <c r="V42" s="45">
        <v>0.85938890000000001</v>
      </c>
      <c r="W42" s="37"/>
      <c r="X42" s="211">
        <f t="shared" ref="X42:X44" si="3">U42/U32</f>
        <v>19.615767661544034</v>
      </c>
      <c r="Y42" s="211"/>
      <c r="Z42" s="64" t="s">
        <v>267</v>
      </c>
    </row>
    <row r="43" spans="1:3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O43" s="1"/>
      <c r="P43" s="283"/>
      <c r="Q43" s="47">
        <v>3</v>
      </c>
      <c r="R43" s="47"/>
      <c r="S43" s="46">
        <v>2897</v>
      </c>
      <c r="T43" s="46">
        <v>209</v>
      </c>
      <c r="U43" s="45">
        <v>7.2143597000000004E-2</v>
      </c>
      <c r="V43" s="45">
        <v>0.79738949999999997</v>
      </c>
      <c r="W43" s="37"/>
      <c r="X43" s="211">
        <f t="shared" si="3"/>
        <v>13.590480318710449</v>
      </c>
      <c r="Y43" s="211"/>
      <c r="Z43" s="64" t="s">
        <v>267</v>
      </c>
    </row>
    <row r="44" spans="1:3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O44" s="1"/>
      <c r="P44" s="283"/>
      <c r="Q44" s="47">
        <v>4</v>
      </c>
      <c r="R44" s="47"/>
      <c r="S44" s="46">
        <v>2688</v>
      </c>
      <c r="T44" s="46">
        <v>137</v>
      </c>
      <c r="U44" s="45">
        <v>5.0967261999999999E-2</v>
      </c>
      <c r="V44" s="45">
        <v>0.75674870000000005</v>
      </c>
      <c r="W44" s="37"/>
      <c r="X44" s="211">
        <f t="shared" si="3"/>
        <v>10.027809039167416</v>
      </c>
      <c r="Y44" s="211"/>
      <c r="Z44" s="64" t="s">
        <v>267</v>
      </c>
    </row>
    <row r="45" spans="1:34" ht="16.5" thickBo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O45" s="1"/>
      <c r="P45" s="284"/>
      <c r="Q45" s="42">
        <v>5</v>
      </c>
      <c r="R45" s="42"/>
      <c r="S45" s="39">
        <v>120</v>
      </c>
      <c r="T45" s="39">
        <v>1</v>
      </c>
      <c r="U45" s="41">
        <v>8.3333330000000001E-3</v>
      </c>
      <c r="V45" s="41">
        <v>0.75044250000000001</v>
      </c>
      <c r="W45" s="40"/>
      <c r="X45" s="217" t="s">
        <v>3</v>
      </c>
      <c r="Y45" s="217"/>
      <c r="Z45" s="222" t="s">
        <v>3</v>
      </c>
    </row>
    <row r="46" spans="1:34">
      <c r="A46" s="1"/>
      <c r="B46" s="1"/>
      <c r="C46" s="1"/>
      <c r="D46" s="1"/>
      <c r="E46" s="1"/>
      <c r="F46" s="1"/>
      <c r="G46" s="1"/>
      <c r="H46" s="1"/>
      <c r="I46" s="1"/>
      <c r="J46" s="1"/>
      <c r="P46" s="37" t="s">
        <v>218</v>
      </c>
      <c r="Q46" s="47"/>
      <c r="R46" s="47"/>
      <c r="S46" s="46"/>
      <c r="T46" s="46"/>
      <c r="U46" s="45"/>
      <c r="V46" s="45"/>
      <c r="W46" s="37"/>
      <c r="X46" s="46"/>
      <c r="Y46" s="46"/>
      <c r="Z46" s="201"/>
    </row>
    <row r="47" spans="1:3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O47" s="1"/>
      <c r="P47" s="1"/>
      <c r="Q47" s="1"/>
      <c r="R47" s="1"/>
      <c r="S47" s="1"/>
      <c r="T47" s="1"/>
      <c r="U47" s="1"/>
      <c r="V47" s="1"/>
      <c r="Z47" s="1"/>
    </row>
    <row r="48" spans="1:3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O48" s="1"/>
      <c r="P48" s="1"/>
      <c r="Q48" s="1"/>
      <c r="R48" s="1"/>
      <c r="S48" s="1"/>
      <c r="T48" s="1"/>
      <c r="U48" s="1"/>
      <c r="V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O49" s="1"/>
      <c r="P49" s="1"/>
      <c r="Q49" s="1"/>
      <c r="R49" s="1"/>
      <c r="S49" s="1"/>
      <c r="T49" s="1"/>
      <c r="U49" s="1"/>
      <c r="V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O50" s="1"/>
      <c r="P50" s="1"/>
      <c r="Q50" s="1"/>
      <c r="R50" s="1"/>
      <c r="S50" s="1"/>
      <c r="T50" s="1"/>
      <c r="U50" s="1"/>
      <c r="V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P51" s="1"/>
      <c r="Q51" s="1"/>
      <c r="R51" s="1"/>
      <c r="S51" s="1"/>
      <c r="T51" s="1"/>
      <c r="U51" s="1"/>
      <c r="V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O52" s="1"/>
      <c r="P52" s="1"/>
      <c r="Q52" s="1"/>
      <c r="R52" s="1"/>
      <c r="S52" s="1"/>
      <c r="T52" s="1"/>
      <c r="U52" s="1"/>
      <c r="V52" s="1"/>
      <c r="Z52" s="1"/>
    </row>
  </sheetData>
  <mergeCells count="18">
    <mergeCell ref="P36:P40"/>
    <mergeCell ref="P41:P45"/>
    <mergeCell ref="Q29:Q30"/>
    <mergeCell ref="S29:S30"/>
    <mergeCell ref="T29:T30"/>
    <mergeCell ref="U29:U30"/>
    <mergeCell ref="V29:V30"/>
    <mergeCell ref="P31:P35"/>
    <mergeCell ref="P6:P10"/>
    <mergeCell ref="P11:P15"/>
    <mergeCell ref="P16:P20"/>
    <mergeCell ref="P29:P30"/>
    <mergeCell ref="P4:P5"/>
    <mergeCell ref="S4:S5"/>
    <mergeCell ref="T4:T5"/>
    <mergeCell ref="U4:U5"/>
    <mergeCell ref="V4:V5"/>
    <mergeCell ref="Q4:Q5"/>
  </mergeCells>
  <pageMargins left="0.7" right="0.7" top="0.75" bottom="0.75" header="0.3" footer="0.3"/>
  <pageSetup orientation="portrait" horizontalDpi="0" verticalDpi="0"/>
  <ignoredErrors>
    <ignoredError sqref="Z37:Z38 Z1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066DD-B811-714F-823B-D480AF5505D6}">
  <dimension ref="A1:P77"/>
  <sheetViews>
    <sheetView topLeftCell="A17" zoomScale="96" workbookViewId="0">
      <selection activeCell="B21" sqref="B21"/>
    </sheetView>
  </sheetViews>
  <sheetFormatPr defaultColWidth="10.875" defaultRowHeight="15.75"/>
  <cols>
    <col min="2" max="2" width="33.125" bestFit="1" customWidth="1"/>
    <col min="3" max="3" width="14.875" bestFit="1" customWidth="1"/>
    <col min="5" max="6" width="7.875" customWidth="1"/>
    <col min="7" max="7" width="4.875" customWidth="1"/>
    <col min="8" max="8" width="2.5" customWidth="1"/>
    <col min="9" max="9" width="14.875" bestFit="1" customWidth="1"/>
    <col min="11" max="12" width="7.875" customWidth="1"/>
    <col min="13" max="13" width="3.5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/>
      <c r="B2" s="73" t="s">
        <v>216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6.5" thickBot="1">
      <c r="A4" s="1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"/>
      <c r="O4" s="1"/>
      <c r="P4" s="1"/>
    </row>
    <row r="5" spans="1:16">
      <c r="A5" s="1"/>
      <c r="B5" s="53"/>
      <c r="C5" s="55" t="s">
        <v>230</v>
      </c>
      <c r="D5" s="54"/>
      <c r="E5" s="54"/>
      <c r="F5" s="54"/>
      <c r="G5" s="54"/>
      <c r="H5" s="53"/>
      <c r="I5" s="55" t="s">
        <v>229</v>
      </c>
      <c r="J5" s="54"/>
      <c r="K5" s="54"/>
      <c r="L5" s="54"/>
      <c r="M5" s="54"/>
      <c r="N5" s="1"/>
      <c r="O5" s="1"/>
      <c r="P5" s="1"/>
    </row>
    <row r="6" spans="1:16" ht="15.95" customHeight="1">
      <c r="A6" s="1"/>
      <c r="B6" s="285" t="s">
        <v>231</v>
      </c>
      <c r="C6" s="287" t="s">
        <v>228</v>
      </c>
      <c r="D6" s="287" t="s">
        <v>232</v>
      </c>
      <c r="E6" s="289" t="s">
        <v>233</v>
      </c>
      <c r="F6" s="289"/>
      <c r="G6" s="289"/>
      <c r="H6" s="60"/>
      <c r="I6" s="287" t="s">
        <v>228</v>
      </c>
      <c r="J6" s="287" t="s">
        <v>232</v>
      </c>
      <c r="K6" s="289" t="s">
        <v>233</v>
      </c>
      <c r="L6" s="289"/>
      <c r="M6" s="289"/>
      <c r="N6" s="1"/>
      <c r="O6" s="1"/>
      <c r="P6" s="1"/>
    </row>
    <row r="7" spans="1:16">
      <c r="A7" s="1"/>
      <c r="B7" s="286"/>
      <c r="C7" s="288"/>
      <c r="D7" s="288"/>
      <c r="E7" s="290"/>
      <c r="F7" s="290"/>
      <c r="G7" s="290"/>
      <c r="H7" s="61"/>
      <c r="I7" s="288"/>
      <c r="J7" s="288"/>
      <c r="K7" s="290"/>
      <c r="L7" s="290"/>
      <c r="M7" s="290"/>
      <c r="N7" s="1"/>
      <c r="O7" s="1"/>
      <c r="P7" s="1"/>
    </row>
    <row r="8" spans="1:16">
      <c r="A8" s="1"/>
      <c r="B8" s="62" t="s">
        <v>6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1"/>
      <c r="O8" s="1"/>
      <c r="P8" s="1"/>
    </row>
    <row r="9" spans="1:16">
      <c r="A9" s="1"/>
      <c r="B9" s="37" t="s">
        <v>234</v>
      </c>
      <c r="C9" s="37" t="s">
        <v>3</v>
      </c>
      <c r="D9" s="37" t="s">
        <v>3</v>
      </c>
      <c r="E9" s="37" t="s">
        <v>3</v>
      </c>
      <c r="F9" s="37" t="s">
        <v>3</v>
      </c>
      <c r="G9" s="37"/>
      <c r="H9" s="37"/>
      <c r="I9" s="37" t="s">
        <v>3</v>
      </c>
      <c r="J9" s="37" t="s">
        <v>3</v>
      </c>
      <c r="K9" s="37" t="s">
        <v>3</v>
      </c>
      <c r="L9" s="37" t="s">
        <v>3</v>
      </c>
      <c r="M9" s="37"/>
      <c r="N9" s="1"/>
      <c r="O9" s="1"/>
      <c r="P9" s="1"/>
    </row>
    <row r="10" spans="1:16">
      <c r="A10" s="1"/>
      <c r="B10" s="37" t="s">
        <v>235</v>
      </c>
      <c r="C10" s="63">
        <v>1.8841000000000001</v>
      </c>
      <c r="D10" s="64" t="s">
        <v>252</v>
      </c>
      <c r="E10" s="63">
        <v>1.0876999999999999</v>
      </c>
      <c r="F10" s="63">
        <v>3.2639999999999998</v>
      </c>
      <c r="G10" s="63"/>
      <c r="H10" s="63"/>
      <c r="I10" s="63">
        <v>1.2455000000000001</v>
      </c>
      <c r="J10" s="68" t="s">
        <v>246</v>
      </c>
      <c r="K10" s="63">
        <v>1.083</v>
      </c>
      <c r="L10" s="63">
        <v>1.4325000000000001</v>
      </c>
      <c r="M10" s="63"/>
      <c r="N10" s="1"/>
      <c r="O10" s="1"/>
      <c r="P10" s="1"/>
    </row>
    <row r="11" spans="1:16">
      <c r="A11" s="1"/>
      <c r="B11" s="37" t="s">
        <v>4</v>
      </c>
      <c r="C11" s="63"/>
      <c r="D11" s="64"/>
      <c r="E11" s="63"/>
      <c r="F11" s="63"/>
      <c r="G11" s="63"/>
      <c r="H11" s="63"/>
      <c r="I11" s="63"/>
      <c r="J11" s="64"/>
      <c r="K11" s="63"/>
      <c r="L11" s="63"/>
      <c r="M11" s="63"/>
      <c r="N11" s="1"/>
      <c r="O11" s="1"/>
      <c r="P11" s="1"/>
    </row>
    <row r="12" spans="1:16">
      <c r="A12" s="1"/>
      <c r="B12" s="37" t="s">
        <v>236</v>
      </c>
      <c r="C12" s="63">
        <v>1.816397</v>
      </c>
      <c r="D12" s="63">
        <v>0.21579999999999999</v>
      </c>
      <c r="E12" s="63">
        <v>0.70589999999999997</v>
      </c>
      <c r="F12" s="63">
        <v>4.6740000000000004</v>
      </c>
      <c r="G12" s="63"/>
      <c r="H12" s="63"/>
      <c r="I12" s="63">
        <v>1.6123700000000001</v>
      </c>
      <c r="J12" s="68" t="s">
        <v>246</v>
      </c>
      <c r="K12" s="63">
        <v>1.202</v>
      </c>
      <c r="L12" s="63">
        <v>2.1629999999999998</v>
      </c>
      <c r="M12" s="63"/>
      <c r="N12" s="1"/>
      <c r="O12" s="1"/>
      <c r="P12" s="1"/>
    </row>
    <row r="13" spans="1:16">
      <c r="A13" s="1"/>
      <c r="B13" s="37" t="s">
        <v>237</v>
      </c>
      <c r="C13" s="63">
        <v>0.91042599999999996</v>
      </c>
      <c r="D13" s="63">
        <v>0.79100000000000004</v>
      </c>
      <c r="E13" s="63">
        <v>0.45469999999999999</v>
      </c>
      <c r="F13" s="63">
        <v>1.823</v>
      </c>
      <c r="G13" s="63"/>
      <c r="H13" s="63"/>
      <c r="I13" s="63">
        <v>1.0081599999999999</v>
      </c>
      <c r="J13" s="63">
        <v>0.93703999999999998</v>
      </c>
      <c r="K13" s="63">
        <v>0.82399999999999995</v>
      </c>
      <c r="L13" s="63">
        <v>1.2330000000000001</v>
      </c>
      <c r="M13" s="63"/>
      <c r="N13" s="1"/>
      <c r="O13" s="1"/>
      <c r="P13" s="1"/>
    </row>
    <row r="14" spans="1:16">
      <c r="A14" s="1"/>
      <c r="B14" s="37" t="s">
        <v>238</v>
      </c>
      <c r="C14" s="37" t="s">
        <v>3</v>
      </c>
      <c r="D14" s="37" t="s">
        <v>3</v>
      </c>
      <c r="E14" s="37" t="s">
        <v>3</v>
      </c>
      <c r="F14" s="37" t="s">
        <v>3</v>
      </c>
      <c r="G14" s="37"/>
      <c r="H14" s="37"/>
      <c r="I14" s="37" t="s">
        <v>3</v>
      </c>
      <c r="J14" s="37" t="s">
        <v>3</v>
      </c>
      <c r="K14" s="37" t="s">
        <v>3</v>
      </c>
      <c r="L14" s="37" t="s">
        <v>3</v>
      </c>
      <c r="M14" s="63"/>
      <c r="N14" s="1"/>
      <c r="O14" s="1"/>
      <c r="P14" s="1"/>
    </row>
    <row r="15" spans="1:16">
      <c r="A15" s="1"/>
      <c r="B15" s="37" t="s">
        <v>239</v>
      </c>
      <c r="C15" s="63">
        <v>1.004605</v>
      </c>
      <c r="D15" s="63">
        <v>0.98880000000000001</v>
      </c>
      <c r="E15" s="63">
        <v>0.52859999999999996</v>
      </c>
      <c r="F15" s="63">
        <v>1.909</v>
      </c>
      <c r="G15" s="63"/>
      <c r="H15" s="63"/>
      <c r="I15" s="63">
        <v>1.10938</v>
      </c>
      <c r="J15" s="63">
        <v>0.23626</v>
      </c>
      <c r="K15" s="63">
        <v>0.93430000000000002</v>
      </c>
      <c r="L15" s="63">
        <v>1.3169999999999999</v>
      </c>
      <c r="M15" s="63"/>
      <c r="N15" s="1"/>
      <c r="O15" s="1"/>
      <c r="P15" s="1"/>
    </row>
    <row r="16" spans="1:16">
      <c r="A16" s="1"/>
      <c r="B16" s="58" t="s">
        <v>240</v>
      </c>
      <c r="C16" s="65">
        <v>1.5358000000000001</v>
      </c>
      <c r="D16" s="74" t="s">
        <v>253</v>
      </c>
      <c r="E16" s="65">
        <v>0.95050000000000001</v>
      </c>
      <c r="F16" s="65">
        <v>2.4820000000000002</v>
      </c>
      <c r="G16" s="65"/>
      <c r="H16" s="65"/>
      <c r="I16" s="65">
        <v>1.0212000000000001</v>
      </c>
      <c r="J16" s="65">
        <v>0.74126000000000003</v>
      </c>
      <c r="K16" s="65">
        <v>0.90180000000000005</v>
      </c>
      <c r="L16" s="65">
        <v>1.1563000000000001</v>
      </c>
      <c r="M16" s="65"/>
      <c r="N16" s="1"/>
      <c r="O16" s="1"/>
      <c r="P16" s="1"/>
    </row>
    <row r="17" spans="1:16">
      <c r="A17" s="1"/>
      <c r="B17" s="37" t="s">
        <v>241</v>
      </c>
      <c r="C17" s="64" t="s">
        <v>255</v>
      </c>
      <c r="D17" s="291" t="s">
        <v>256</v>
      </c>
      <c r="E17" s="291"/>
      <c r="F17" s="291"/>
      <c r="G17" s="63"/>
      <c r="H17" s="63"/>
      <c r="I17" s="64" t="s">
        <v>260</v>
      </c>
      <c r="J17" s="291" t="s">
        <v>261</v>
      </c>
      <c r="K17" s="291"/>
      <c r="L17" s="291"/>
      <c r="M17" s="63"/>
      <c r="N17" s="1"/>
      <c r="O17" s="1"/>
      <c r="P17" s="1"/>
    </row>
    <row r="18" spans="1:16">
      <c r="A18" s="1"/>
      <c r="B18" s="66" t="s">
        <v>242</v>
      </c>
      <c r="C18" s="67" t="s">
        <v>257</v>
      </c>
      <c r="D18" s="37" t="s">
        <v>254</v>
      </c>
      <c r="E18" s="37" t="s">
        <v>220</v>
      </c>
      <c r="F18" s="68" t="s">
        <v>266</v>
      </c>
      <c r="G18" s="37"/>
      <c r="H18" s="37"/>
      <c r="I18" s="67" t="s">
        <v>262</v>
      </c>
      <c r="J18" s="37" t="s">
        <v>254</v>
      </c>
      <c r="K18" s="37" t="s">
        <v>220</v>
      </c>
      <c r="L18" s="37" t="s">
        <v>265</v>
      </c>
      <c r="M18" s="37"/>
      <c r="N18" s="1"/>
      <c r="O18" s="1"/>
      <c r="P18" s="1"/>
    </row>
    <row r="19" spans="1:16">
      <c r="A19" s="1"/>
      <c r="B19" s="66" t="s">
        <v>243</v>
      </c>
      <c r="C19" s="69" t="s">
        <v>258</v>
      </c>
      <c r="D19" s="37" t="s">
        <v>254</v>
      </c>
      <c r="E19" s="37" t="s">
        <v>220</v>
      </c>
      <c r="F19" s="68" t="s">
        <v>253</v>
      </c>
      <c r="G19" s="37"/>
      <c r="H19" s="37"/>
      <c r="I19" s="69" t="s">
        <v>263</v>
      </c>
      <c r="J19" s="37" t="s">
        <v>254</v>
      </c>
      <c r="K19" s="37" t="s">
        <v>220</v>
      </c>
      <c r="L19" s="37" t="s">
        <v>265</v>
      </c>
      <c r="M19" s="37"/>
      <c r="N19" s="1"/>
      <c r="O19" s="1"/>
      <c r="P19" s="1"/>
    </row>
    <row r="20" spans="1:16" ht="16.5" thickBot="1">
      <c r="A20" s="1"/>
      <c r="B20" s="70" t="s">
        <v>244</v>
      </c>
      <c r="C20" s="71" t="s">
        <v>259</v>
      </c>
      <c r="D20" s="40" t="s">
        <v>254</v>
      </c>
      <c r="E20" s="40" t="s">
        <v>220</v>
      </c>
      <c r="F20" s="72" t="s">
        <v>245</v>
      </c>
      <c r="G20" s="40"/>
      <c r="H20" s="40"/>
      <c r="I20" s="71" t="s">
        <v>264</v>
      </c>
      <c r="J20" s="40" t="s">
        <v>254</v>
      </c>
      <c r="K20" s="40" t="s">
        <v>220</v>
      </c>
      <c r="L20" s="40" t="s">
        <v>265</v>
      </c>
      <c r="M20" s="40"/>
      <c r="N20" s="1"/>
      <c r="O20" s="1"/>
      <c r="P20" s="1"/>
    </row>
    <row r="21" spans="1:16">
      <c r="A21" s="1"/>
      <c r="B21" s="37" t="s">
        <v>218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73" t="s">
        <v>217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6.5" thickBot="1">
      <c r="A28" s="1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"/>
      <c r="O28" s="1"/>
      <c r="P28" s="1"/>
    </row>
    <row r="29" spans="1:16">
      <c r="A29" s="1"/>
      <c r="B29" s="53"/>
      <c r="C29" s="55" t="s">
        <v>230</v>
      </c>
      <c r="D29" s="54"/>
      <c r="E29" s="54"/>
      <c r="F29" s="54"/>
      <c r="G29" s="54"/>
      <c r="H29" s="53"/>
      <c r="I29" s="55" t="s">
        <v>229</v>
      </c>
      <c r="J29" s="54"/>
      <c r="K29" s="54"/>
      <c r="L29" s="54"/>
      <c r="M29" s="54"/>
      <c r="N29" s="1"/>
      <c r="O29" s="1"/>
      <c r="P29" s="1"/>
    </row>
    <row r="30" spans="1:16" ht="15.95" customHeight="1">
      <c r="B30" s="285" t="s">
        <v>231</v>
      </c>
      <c r="C30" s="287" t="s">
        <v>228</v>
      </c>
      <c r="D30" s="287" t="s">
        <v>232</v>
      </c>
      <c r="E30" s="289" t="s">
        <v>233</v>
      </c>
      <c r="F30" s="289"/>
      <c r="G30" s="289"/>
      <c r="H30" s="60"/>
      <c r="I30" s="287" t="s">
        <v>228</v>
      </c>
      <c r="J30" s="287" t="s">
        <v>232</v>
      </c>
      <c r="K30" s="289" t="s">
        <v>233</v>
      </c>
      <c r="L30" s="289"/>
      <c r="M30" s="289"/>
      <c r="N30" s="1"/>
      <c r="O30" s="1"/>
      <c r="P30" s="1"/>
    </row>
    <row r="31" spans="1:16">
      <c r="A31" s="1"/>
      <c r="B31" s="286"/>
      <c r="C31" s="288"/>
      <c r="D31" s="288"/>
      <c r="E31" s="290"/>
      <c r="F31" s="290"/>
      <c r="G31" s="290"/>
      <c r="H31" s="61"/>
      <c r="I31" s="288"/>
      <c r="J31" s="288"/>
      <c r="K31" s="290"/>
      <c r="L31" s="290"/>
      <c r="M31" s="290"/>
      <c r="N31" s="1"/>
      <c r="O31" s="1"/>
      <c r="P31" s="1"/>
    </row>
    <row r="32" spans="1:16">
      <c r="A32" s="1"/>
      <c r="B32" s="62" t="s">
        <v>6</v>
      </c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1"/>
      <c r="O32" s="1"/>
      <c r="P32" s="1"/>
    </row>
    <row r="33" spans="1:16">
      <c r="A33" s="1"/>
      <c r="B33" s="37" t="s">
        <v>234</v>
      </c>
      <c r="C33" s="37" t="s">
        <v>3</v>
      </c>
      <c r="D33" s="37" t="s">
        <v>3</v>
      </c>
      <c r="E33" s="37" t="s">
        <v>3</v>
      </c>
      <c r="F33" s="37" t="s">
        <v>3</v>
      </c>
      <c r="G33" s="37"/>
      <c r="H33" s="37"/>
      <c r="I33" s="37" t="s">
        <v>3</v>
      </c>
      <c r="J33" s="37" t="s">
        <v>3</v>
      </c>
      <c r="K33" s="37" t="s">
        <v>3</v>
      </c>
      <c r="L33" s="37" t="s">
        <v>3</v>
      </c>
      <c r="M33" s="37"/>
      <c r="N33" s="1"/>
      <c r="O33" s="1"/>
      <c r="P33" s="1"/>
    </row>
    <row r="34" spans="1:16">
      <c r="A34" s="1"/>
      <c r="B34" s="37" t="s">
        <v>235</v>
      </c>
      <c r="C34" s="63">
        <v>1.3080000000000001</v>
      </c>
      <c r="D34" s="68" t="s">
        <v>246</v>
      </c>
      <c r="E34" s="63">
        <v>1.1015999999999999</v>
      </c>
      <c r="F34" s="63">
        <v>1.5529999999999999</v>
      </c>
      <c r="G34" s="63"/>
      <c r="H34" s="63"/>
      <c r="I34" s="63">
        <v>1.2597</v>
      </c>
      <c r="J34" s="64" t="s">
        <v>267</v>
      </c>
      <c r="K34" s="63">
        <v>1.1138999999999999</v>
      </c>
      <c r="L34" s="63">
        <v>1.4239999999999999</v>
      </c>
      <c r="M34" s="63"/>
      <c r="N34" s="1"/>
      <c r="O34" s="64"/>
      <c r="P34" s="1"/>
    </row>
    <row r="35" spans="1:16">
      <c r="A35" s="1"/>
      <c r="B35" s="37" t="s">
        <v>4</v>
      </c>
      <c r="C35" s="63"/>
      <c r="D35" s="64"/>
      <c r="E35" s="63"/>
      <c r="F35" s="63"/>
      <c r="G35" s="63"/>
      <c r="H35" s="63"/>
      <c r="I35" s="63"/>
      <c r="J35" s="64"/>
      <c r="K35" s="63"/>
      <c r="L35" s="63"/>
      <c r="M35" s="63"/>
      <c r="N35" s="1"/>
      <c r="O35" s="64"/>
      <c r="P35" s="1"/>
    </row>
    <row r="36" spans="1:16">
      <c r="A36" s="1"/>
      <c r="B36" s="37" t="s">
        <v>236</v>
      </c>
      <c r="C36" s="63">
        <v>0.59548000000000001</v>
      </c>
      <c r="D36" s="64" t="s">
        <v>252</v>
      </c>
      <c r="E36" s="63">
        <v>0.37930000000000003</v>
      </c>
      <c r="F36" s="63">
        <v>0.93489999999999995</v>
      </c>
      <c r="G36" s="63"/>
      <c r="H36" s="63"/>
      <c r="I36" s="63">
        <v>1.1547499999999999</v>
      </c>
      <c r="J36" s="63">
        <v>0.45103399999999999</v>
      </c>
      <c r="K36" s="63">
        <v>0.87470000000000003</v>
      </c>
      <c r="L36" s="63">
        <v>1.524</v>
      </c>
      <c r="M36" s="63"/>
      <c r="N36" s="1"/>
      <c r="O36" s="64"/>
      <c r="P36" s="1"/>
    </row>
    <row r="37" spans="1:16">
      <c r="A37" s="1"/>
      <c r="B37" s="37" t="s">
        <v>237</v>
      </c>
      <c r="C37" s="63">
        <v>1.05253</v>
      </c>
      <c r="D37" s="63">
        <v>0.66410000000000002</v>
      </c>
      <c r="E37" s="63">
        <v>0.84940000000000004</v>
      </c>
      <c r="F37" s="63">
        <v>1.3043</v>
      </c>
      <c r="G37" s="63"/>
      <c r="H37" s="63"/>
      <c r="I37" s="63">
        <v>0.85801000000000005</v>
      </c>
      <c r="J37" s="63" t="s">
        <v>266</v>
      </c>
      <c r="K37" s="63">
        <v>0.71750000000000003</v>
      </c>
      <c r="L37" s="63">
        <v>1.026</v>
      </c>
      <c r="M37" s="63"/>
      <c r="N37" s="1"/>
      <c r="O37" s="64"/>
      <c r="P37" s="1"/>
    </row>
    <row r="38" spans="1:16">
      <c r="A38" s="1"/>
      <c r="B38" s="37" t="s">
        <v>238</v>
      </c>
      <c r="C38" s="37" t="s">
        <v>3</v>
      </c>
      <c r="D38" s="37" t="s">
        <v>3</v>
      </c>
      <c r="E38" s="37" t="s">
        <v>3</v>
      </c>
      <c r="F38" s="37" t="s">
        <v>3</v>
      </c>
      <c r="G38" s="37"/>
      <c r="H38" s="37"/>
      <c r="I38" s="37" t="s">
        <v>3</v>
      </c>
      <c r="J38" s="37" t="s">
        <v>3</v>
      </c>
      <c r="K38" s="37" t="s">
        <v>3</v>
      </c>
      <c r="L38" s="37" t="s">
        <v>3</v>
      </c>
      <c r="M38" s="63"/>
      <c r="N38" s="1"/>
      <c r="O38" s="64"/>
      <c r="P38" s="1"/>
    </row>
    <row r="39" spans="1:16">
      <c r="A39" s="1"/>
      <c r="B39" s="37" t="s">
        <v>239</v>
      </c>
      <c r="C39" s="63">
        <v>1.09223</v>
      </c>
      <c r="D39" s="63">
        <v>0.31097999999999998</v>
      </c>
      <c r="E39" s="63">
        <v>0.90339999999999998</v>
      </c>
      <c r="F39" s="63">
        <v>1.3757999999999999</v>
      </c>
      <c r="G39" s="63"/>
      <c r="H39" s="63"/>
      <c r="I39" s="63">
        <v>1.01373</v>
      </c>
      <c r="J39" s="63">
        <v>0.84865299999999999</v>
      </c>
      <c r="K39" s="63">
        <v>0.87580000000000002</v>
      </c>
      <c r="L39" s="63">
        <v>1.175</v>
      </c>
      <c r="M39" s="63"/>
      <c r="N39" s="1"/>
      <c r="O39" s="64"/>
      <c r="P39" s="1"/>
    </row>
    <row r="40" spans="1:16">
      <c r="A40" s="1"/>
      <c r="B40" s="58" t="s">
        <v>240</v>
      </c>
      <c r="C40" s="65">
        <v>1.1060000000000001</v>
      </c>
      <c r="D40" s="65">
        <v>0.34189000000000003</v>
      </c>
      <c r="E40" s="65">
        <v>0.92320000000000002</v>
      </c>
      <c r="F40" s="65">
        <v>1.2588999999999999</v>
      </c>
      <c r="G40" s="65"/>
      <c r="H40" s="65"/>
      <c r="I40" s="65">
        <v>0.96909999999999996</v>
      </c>
      <c r="J40" s="65">
        <v>0.41483199999999998</v>
      </c>
      <c r="K40" s="65">
        <v>0.85729999999999995</v>
      </c>
      <c r="L40" s="65">
        <v>1.0660000000000001</v>
      </c>
      <c r="M40" s="65"/>
      <c r="N40" s="1"/>
      <c r="O40" s="64"/>
      <c r="P40" s="1"/>
    </row>
    <row r="41" spans="1:16">
      <c r="A41" s="1"/>
      <c r="B41" s="37" t="s">
        <v>241</v>
      </c>
      <c r="C41" s="64" t="s">
        <v>269</v>
      </c>
      <c r="D41" s="291" t="s">
        <v>268</v>
      </c>
      <c r="E41" s="291"/>
      <c r="F41" s="291"/>
      <c r="G41" s="63"/>
      <c r="H41" s="63"/>
      <c r="I41" s="64" t="s">
        <v>273</v>
      </c>
      <c r="J41" s="291" t="s">
        <v>261</v>
      </c>
      <c r="K41" s="291"/>
      <c r="L41" s="291"/>
      <c r="M41" s="63"/>
      <c r="N41" s="1"/>
      <c r="O41" s="1"/>
      <c r="P41" s="1"/>
    </row>
    <row r="42" spans="1:16">
      <c r="A42" s="1"/>
      <c r="B42" s="66" t="s">
        <v>242</v>
      </c>
      <c r="C42" s="67" t="s">
        <v>270</v>
      </c>
      <c r="D42" s="37" t="s">
        <v>254</v>
      </c>
      <c r="E42" s="37" t="s">
        <v>220</v>
      </c>
      <c r="F42" s="37" t="s">
        <v>265</v>
      </c>
      <c r="G42" s="37"/>
      <c r="H42" s="37"/>
      <c r="I42" s="67" t="s">
        <v>262</v>
      </c>
      <c r="J42" s="37" t="s">
        <v>254</v>
      </c>
      <c r="K42" s="37" t="s">
        <v>220</v>
      </c>
      <c r="L42" s="37" t="s">
        <v>246</v>
      </c>
      <c r="M42" s="37"/>
      <c r="N42" s="1"/>
      <c r="O42" s="1"/>
      <c r="P42" s="1"/>
    </row>
    <row r="43" spans="1:16">
      <c r="A43" s="1"/>
      <c r="B43" s="66" t="s">
        <v>243</v>
      </c>
      <c r="C43" s="69" t="s">
        <v>271</v>
      </c>
      <c r="D43" s="37" t="s">
        <v>254</v>
      </c>
      <c r="E43" s="37" t="s">
        <v>220</v>
      </c>
      <c r="F43" s="37" t="s">
        <v>265</v>
      </c>
      <c r="G43" s="37"/>
      <c r="H43" s="37"/>
      <c r="I43" s="69" t="s">
        <v>274</v>
      </c>
      <c r="J43" s="37" t="s">
        <v>254</v>
      </c>
      <c r="K43" s="37" t="s">
        <v>220</v>
      </c>
      <c r="L43" s="37" t="s">
        <v>246</v>
      </c>
      <c r="M43" s="37"/>
      <c r="N43" s="1"/>
      <c r="O43" s="1"/>
      <c r="P43" s="1"/>
    </row>
    <row r="44" spans="1:16" ht="16.5" thickBot="1">
      <c r="A44" s="1"/>
      <c r="B44" s="70" t="s">
        <v>244</v>
      </c>
      <c r="C44" s="71" t="s">
        <v>272</v>
      </c>
      <c r="D44" s="40" t="s">
        <v>254</v>
      </c>
      <c r="E44" s="40" t="s">
        <v>220</v>
      </c>
      <c r="F44" s="40" t="s">
        <v>265</v>
      </c>
      <c r="G44" s="40"/>
      <c r="H44" s="40"/>
      <c r="I44" s="71" t="s">
        <v>275</v>
      </c>
      <c r="J44" s="40" t="s">
        <v>254</v>
      </c>
      <c r="K44" s="40" t="s">
        <v>220</v>
      </c>
      <c r="L44" s="40" t="s">
        <v>246</v>
      </c>
      <c r="M44" s="40"/>
      <c r="N44" s="1"/>
      <c r="O44" s="1"/>
      <c r="P44" s="1"/>
    </row>
    <row r="45" spans="1:16">
      <c r="A45" s="1"/>
      <c r="B45" s="37" t="s">
        <v>218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I48" s="1"/>
      <c r="J48" s="1"/>
      <c r="K48" s="1"/>
      <c r="L48" s="1"/>
      <c r="M48" s="1"/>
      <c r="N48" s="1"/>
      <c r="O48" s="1"/>
      <c r="P48" s="1"/>
    </row>
    <row r="49" spans="9:16">
      <c r="I49" s="1"/>
      <c r="J49" s="1"/>
      <c r="K49" s="1"/>
      <c r="L49" s="1"/>
      <c r="M49" s="1"/>
      <c r="N49" s="1"/>
      <c r="O49" s="1"/>
      <c r="P49" s="1"/>
    </row>
    <row r="50" spans="9:16">
      <c r="I50" s="1"/>
      <c r="J50" s="1"/>
      <c r="K50" s="1"/>
      <c r="L50" s="1"/>
      <c r="M50" s="1"/>
      <c r="N50" s="1"/>
      <c r="O50" s="1"/>
      <c r="P50" s="1"/>
    </row>
    <row r="51" spans="9:16">
      <c r="I51" s="1"/>
      <c r="J51" s="1"/>
      <c r="K51" s="1"/>
      <c r="L51" s="1"/>
      <c r="M51" s="1"/>
      <c r="N51" s="1"/>
      <c r="O51" s="1"/>
      <c r="P51" s="1"/>
    </row>
    <row r="52" spans="9:16">
      <c r="I52" s="1"/>
      <c r="J52" s="1"/>
      <c r="K52" s="1"/>
      <c r="L52" s="1"/>
      <c r="M52" s="1"/>
      <c r="N52" s="1"/>
      <c r="O52" s="1"/>
      <c r="P52" s="1"/>
    </row>
    <row r="53" spans="9:16">
      <c r="I53" s="1"/>
      <c r="J53" s="1"/>
      <c r="K53" s="1"/>
      <c r="L53" s="1"/>
      <c r="M53" s="1"/>
      <c r="N53" s="1"/>
      <c r="O53" s="1"/>
      <c r="P53" s="1"/>
    </row>
    <row r="54" spans="9:16">
      <c r="I54" s="1"/>
      <c r="J54" s="1"/>
      <c r="K54" s="1"/>
      <c r="L54" s="1"/>
      <c r="M54" s="1"/>
      <c r="N54" s="1"/>
      <c r="O54" s="1"/>
      <c r="P54" s="1"/>
    </row>
    <row r="55" spans="9:16">
      <c r="I55" s="1"/>
      <c r="J55" s="1"/>
      <c r="K55" s="1"/>
      <c r="L55" s="1"/>
      <c r="M55" s="1"/>
      <c r="N55" s="1"/>
      <c r="O55" s="1"/>
      <c r="P55" s="1"/>
    </row>
    <row r="56" spans="9:16">
      <c r="I56" s="1"/>
      <c r="J56" s="1"/>
      <c r="K56" s="1"/>
      <c r="L56" s="1"/>
      <c r="M56" s="1"/>
      <c r="N56" s="1"/>
      <c r="O56" s="1"/>
      <c r="P56" s="1"/>
    </row>
    <row r="57" spans="9:16">
      <c r="I57" s="1"/>
      <c r="J57" s="1"/>
      <c r="K57" s="1"/>
      <c r="L57" s="1"/>
      <c r="M57" s="1"/>
      <c r="N57" s="1"/>
      <c r="O57" s="1"/>
      <c r="P57" s="1"/>
    </row>
    <row r="58" spans="9:16">
      <c r="I58" s="1"/>
      <c r="J58" s="1"/>
      <c r="K58" s="1"/>
      <c r="L58" s="1"/>
      <c r="M58" s="1"/>
      <c r="N58" s="1"/>
      <c r="O58" s="1"/>
      <c r="P58" s="1"/>
    </row>
    <row r="59" spans="9:16">
      <c r="I59" s="1"/>
      <c r="J59" s="1"/>
      <c r="K59" s="1"/>
      <c r="L59" s="1"/>
      <c r="M59" s="1"/>
      <c r="N59" s="1"/>
      <c r="O59" s="1"/>
      <c r="P59" s="1"/>
    </row>
    <row r="60" spans="9:16">
      <c r="I60" s="1"/>
      <c r="J60" s="1"/>
      <c r="K60" s="1"/>
      <c r="L60" s="1"/>
      <c r="M60" s="1"/>
      <c r="N60" s="1"/>
      <c r="O60" s="1"/>
      <c r="P60" s="1"/>
    </row>
    <row r="61" spans="9:16">
      <c r="I61" s="1"/>
      <c r="J61" s="1"/>
      <c r="K61" s="1"/>
      <c r="L61" s="1"/>
      <c r="M61" s="1"/>
      <c r="N61" s="1"/>
      <c r="O61" s="1"/>
      <c r="P61" s="1"/>
    </row>
    <row r="62" spans="9:16">
      <c r="I62" s="1"/>
      <c r="J62" s="1"/>
      <c r="K62" s="1"/>
      <c r="L62" s="1"/>
      <c r="M62" s="1"/>
      <c r="N62" s="1"/>
      <c r="O62" s="1"/>
      <c r="P62" s="1"/>
    </row>
    <row r="63" spans="9:16">
      <c r="I63" s="1"/>
      <c r="J63" s="1"/>
      <c r="K63" s="1"/>
      <c r="L63" s="1"/>
      <c r="M63" s="1"/>
      <c r="N63" s="1"/>
      <c r="O63" s="1"/>
      <c r="P63" s="1"/>
    </row>
    <row r="64" spans="9:16">
      <c r="I64" s="1"/>
      <c r="J64" s="1"/>
      <c r="K64" s="1"/>
      <c r="L64" s="1"/>
      <c r="M64" s="1"/>
      <c r="N64" s="1"/>
      <c r="O64" s="1"/>
      <c r="P64" s="1"/>
    </row>
    <row r="65" spans="9:16">
      <c r="I65" s="1"/>
      <c r="J65" s="1"/>
      <c r="K65" s="1"/>
      <c r="L65" s="1"/>
      <c r="M65" s="1"/>
      <c r="N65" s="1"/>
      <c r="O65" s="1"/>
      <c r="P65" s="1"/>
    </row>
    <row r="66" spans="9:16">
      <c r="I66" s="1"/>
      <c r="J66" s="1"/>
      <c r="K66" s="1"/>
      <c r="L66" s="1"/>
      <c r="M66" s="1"/>
      <c r="N66" s="1"/>
      <c r="O66" s="1"/>
      <c r="P66" s="1"/>
    </row>
    <row r="67" spans="9:16">
      <c r="I67" s="1"/>
      <c r="J67" s="1"/>
      <c r="K67" s="1"/>
      <c r="L67" s="1"/>
      <c r="M67" s="1"/>
      <c r="N67" s="1"/>
      <c r="O67" s="1"/>
      <c r="P67" s="1"/>
    </row>
    <row r="68" spans="9:16">
      <c r="I68" s="1"/>
      <c r="J68" s="1"/>
      <c r="K68" s="1"/>
      <c r="L68" s="1"/>
      <c r="M68" s="1"/>
      <c r="N68" s="1"/>
      <c r="O68" s="1"/>
      <c r="P68" s="1"/>
    </row>
    <row r="69" spans="9:16">
      <c r="I69" s="1"/>
      <c r="J69" s="1"/>
      <c r="K69" s="1"/>
      <c r="L69" s="1"/>
      <c r="M69" s="1"/>
      <c r="N69" s="1"/>
      <c r="O69" s="1"/>
      <c r="P69" s="1"/>
    </row>
    <row r="70" spans="9:16">
      <c r="I70" s="1"/>
      <c r="J70" s="1"/>
      <c r="K70" s="1"/>
      <c r="L70" s="1"/>
      <c r="M70" s="1"/>
      <c r="N70" s="1"/>
      <c r="O70" s="1"/>
      <c r="P70" s="1"/>
    </row>
    <row r="71" spans="9:16">
      <c r="I71" s="1"/>
      <c r="J71" s="1"/>
      <c r="K71" s="1"/>
      <c r="L71" s="1"/>
      <c r="M71" s="1"/>
      <c r="N71" s="1"/>
      <c r="O71" s="1"/>
      <c r="P71" s="1"/>
    </row>
    <row r="72" spans="9:16">
      <c r="I72" s="1"/>
      <c r="J72" s="1"/>
      <c r="K72" s="1"/>
      <c r="L72" s="1"/>
      <c r="M72" s="1"/>
      <c r="N72" s="1"/>
      <c r="O72" s="1"/>
      <c r="P72" s="1"/>
    </row>
    <row r="73" spans="9:16">
      <c r="I73" s="1"/>
      <c r="J73" s="1"/>
      <c r="K73" s="1"/>
      <c r="L73" s="1"/>
      <c r="M73" s="1"/>
      <c r="N73" s="1"/>
      <c r="O73" s="1"/>
      <c r="P73" s="1"/>
    </row>
    <row r="74" spans="9:16">
      <c r="I74" s="1"/>
      <c r="J74" s="1"/>
      <c r="K74" s="1"/>
      <c r="L74" s="1"/>
      <c r="M74" s="1"/>
      <c r="N74" s="1"/>
      <c r="O74" s="1"/>
      <c r="P74" s="1"/>
    </row>
    <row r="75" spans="9:16">
      <c r="I75" s="1"/>
      <c r="J75" s="1"/>
      <c r="K75" s="1"/>
      <c r="L75" s="1"/>
      <c r="M75" s="1"/>
      <c r="N75" s="1"/>
      <c r="O75" s="1"/>
      <c r="P75" s="1"/>
    </row>
    <row r="76" spans="9:16">
      <c r="I76" s="1"/>
      <c r="J76" s="1"/>
      <c r="K76" s="1"/>
      <c r="L76" s="1"/>
      <c r="M76" s="1"/>
      <c r="N76" s="1"/>
      <c r="O76" s="1"/>
      <c r="P76" s="1"/>
    </row>
    <row r="77" spans="9:16">
      <c r="I77" s="1"/>
      <c r="J77" s="1"/>
      <c r="K77" s="1"/>
      <c r="L77" s="1"/>
      <c r="M77" s="1"/>
      <c r="N77" s="1"/>
      <c r="O77" s="1"/>
      <c r="P77" s="1"/>
    </row>
  </sheetData>
  <mergeCells count="18">
    <mergeCell ref="I30:I31"/>
    <mergeCell ref="K30:M31"/>
    <mergeCell ref="D41:F41"/>
    <mergeCell ref="I6:I7"/>
    <mergeCell ref="J6:J7"/>
    <mergeCell ref="K6:M7"/>
    <mergeCell ref="D17:F17"/>
    <mergeCell ref="J30:J31"/>
    <mergeCell ref="J17:L17"/>
    <mergeCell ref="J41:L41"/>
    <mergeCell ref="B6:B7"/>
    <mergeCell ref="C6:C7"/>
    <mergeCell ref="D6:D7"/>
    <mergeCell ref="E6:G7"/>
    <mergeCell ref="B30:B31"/>
    <mergeCell ref="C30:C31"/>
    <mergeCell ref="D30:D31"/>
    <mergeCell ref="E30:G31"/>
  </mergeCells>
  <pageMargins left="0.75" right="0.75" top="1" bottom="1" header="0.5" footer="0.5"/>
  <pageSetup orientation="portrait" horizontalDpi="0" verticalDpi="0"/>
  <ignoredErrors>
    <ignoredError sqref="J1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CC8AA-D5E7-3043-A6B1-A497B1559A51}">
  <dimension ref="A1:V25"/>
  <sheetViews>
    <sheetView zoomScale="112" workbookViewId="0">
      <selection activeCell="K24" sqref="K24"/>
    </sheetView>
  </sheetViews>
  <sheetFormatPr defaultColWidth="11" defaultRowHeight="15.75"/>
  <cols>
    <col min="2" max="2" width="14.875" customWidth="1"/>
    <col min="3" max="3" width="28.375" customWidth="1"/>
    <col min="4" max="4" width="14.875" bestFit="1" customWidth="1"/>
    <col min="6" max="6" width="7.875" customWidth="1"/>
    <col min="7" max="7" width="4.875" customWidth="1"/>
    <col min="11" max="11" width="16.5" customWidth="1"/>
    <col min="12" max="12" width="14.875" bestFit="1" customWidth="1"/>
    <col min="14" max="14" width="7.875" customWidth="1"/>
    <col min="15" max="15" width="4.875" customWidth="1"/>
    <col min="16" max="16" width="2.5" customWidth="1"/>
    <col min="17" max="17" width="14.875" bestFit="1" customWidth="1"/>
    <col min="19" max="19" width="7.875" customWidth="1"/>
    <col min="20" max="20" width="3.5" customWidth="1"/>
  </cols>
  <sheetData>
    <row r="1" spans="1:22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1"/>
      <c r="B2" s="1"/>
      <c r="C2" s="73"/>
      <c r="D2" s="1"/>
      <c r="E2" s="1"/>
      <c r="F2" s="1"/>
      <c r="G2" s="1"/>
      <c r="H2" s="1"/>
      <c r="I2" s="1"/>
      <c r="J2" s="1"/>
      <c r="K2" s="73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6.5" thickBot="1">
      <c r="A4" s="1"/>
      <c r="B4" s="1"/>
      <c r="C4" s="19"/>
      <c r="D4" s="19"/>
      <c r="E4" s="19"/>
      <c r="F4" s="19"/>
      <c r="G4" s="19"/>
      <c r="H4" s="1"/>
      <c r="I4" s="1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"/>
      <c r="V4" s="1"/>
    </row>
    <row r="5" spans="1:22" ht="15.95" customHeight="1">
      <c r="A5" s="1"/>
      <c r="B5" s="1"/>
      <c r="C5" s="52"/>
      <c r="D5" s="52" t="s">
        <v>382</v>
      </c>
      <c r="E5" s="52" t="s">
        <v>385</v>
      </c>
      <c r="F5" s="226" t="s">
        <v>232</v>
      </c>
      <c r="G5" s="226"/>
      <c r="H5" s="1"/>
      <c r="I5" s="1"/>
      <c r="J5" s="198" t="s">
        <v>389</v>
      </c>
      <c r="K5" s="197" t="s">
        <v>231</v>
      </c>
      <c r="L5" s="196" t="s">
        <v>382</v>
      </c>
      <c r="M5" s="196" t="s">
        <v>385</v>
      </c>
      <c r="N5" s="289" t="s">
        <v>232</v>
      </c>
      <c r="O5" s="289"/>
      <c r="P5" s="60"/>
      <c r="Q5" s="196" t="s">
        <v>382</v>
      </c>
      <c r="R5" s="196" t="s">
        <v>385</v>
      </c>
      <c r="S5" s="289" t="s">
        <v>232</v>
      </c>
      <c r="T5" s="289"/>
      <c r="U5" s="1"/>
      <c r="V5" s="1"/>
    </row>
    <row r="6" spans="1:22">
      <c r="A6" s="1"/>
      <c r="B6" s="1"/>
      <c r="C6" s="293" t="s">
        <v>383</v>
      </c>
      <c r="D6" s="293"/>
      <c r="E6" s="293"/>
      <c r="F6" s="293"/>
      <c r="G6" s="293"/>
      <c r="H6" s="1"/>
      <c r="I6" s="1"/>
      <c r="J6" s="198"/>
      <c r="K6" s="197"/>
      <c r="L6" s="197"/>
      <c r="M6" s="197"/>
      <c r="N6" s="198"/>
      <c r="O6" s="198"/>
      <c r="P6" s="60"/>
      <c r="Q6" s="197"/>
      <c r="R6" s="197"/>
      <c r="S6" s="198"/>
      <c r="T6" s="198"/>
      <c r="U6" s="1"/>
      <c r="V6" s="1"/>
    </row>
    <row r="7" spans="1:22" ht="15.95" customHeight="1">
      <c r="A7" s="1"/>
      <c r="B7" s="1"/>
      <c r="C7" s="37" t="s">
        <v>386</v>
      </c>
      <c r="D7" s="63">
        <v>13.097</v>
      </c>
      <c r="E7" s="158">
        <v>1</v>
      </c>
      <c r="F7" s="68" t="s">
        <v>265</v>
      </c>
      <c r="G7" s="68"/>
      <c r="H7" s="1"/>
      <c r="I7" s="1"/>
      <c r="J7" s="199" t="s">
        <v>390</v>
      </c>
      <c r="K7" s="62" t="s">
        <v>6</v>
      </c>
      <c r="L7" s="156">
        <v>0.55300000000000005</v>
      </c>
      <c r="M7" s="157">
        <v>1</v>
      </c>
      <c r="N7" s="155">
        <v>0.46</v>
      </c>
      <c r="O7" s="155"/>
      <c r="P7" s="155"/>
      <c r="Q7" s="156">
        <v>3.5499999999999997E-2</v>
      </c>
      <c r="R7" s="157">
        <v>1</v>
      </c>
      <c r="S7" s="155">
        <v>0.85055000000000003</v>
      </c>
      <c r="T7" s="155"/>
      <c r="U7" s="1"/>
      <c r="V7" s="1"/>
    </row>
    <row r="8" spans="1:22">
      <c r="A8" s="1"/>
      <c r="B8" s="1"/>
      <c r="C8" s="58" t="s">
        <v>388</v>
      </c>
      <c r="D8" s="65">
        <v>13.097</v>
      </c>
      <c r="E8" s="225">
        <v>1</v>
      </c>
      <c r="F8" s="74" t="s">
        <v>265</v>
      </c>
      <c r="G8" s="74"/>
      <c r="H8" s="1"/>
      <c r="I8" s="1"/>
      <c r="J8" s="295"/>
      <c r="K8" s="37" t="s">
        <v>387</v>
      </c>
      <c r="L8" s="63">
        <v>0.69220000000000004</v>
      </c>
      <c r="M8" s="158">
        <v>1</v>
      </c>
      <c r="N8" s="68">
        <v>0.41</v>
      </c>
      <c r="O8" s="68"/>
      <c r="P8" s="68"/>
      <c r="Q8" s="63">
        <v>0.55400000000000005</v>
      </c>
      <c r="R8" s="158">
        <v>1</v>
      </c>
      <c r="S8" s="68">
        <v>0.46</v>
      </c>
      <c r="T8" s="63"/>
      <c r="U8" s="1"/>
      <c r="V8" s="1"/>
    </row>
    <row r="9" spans="1:22" ht="16.5" thickBot="1">
      <c r="A9" s="1"/>
      <c r="B9" s="1"/>
      <c r="C9" s="294" t="s">
        <v>384</v>
      </c>
      <c r="D9" s="294"/>
      <c r="E9" s="294"/>
      <c r="F9" s="294"/>
      <c r="G9" s="294"/>
      <c r="H9" s="1"/>
      <c r="I9" s="1"/>
      <c r="J9" s="296"/>
      <c r="K9" s="40" t="s">
        <v>388</v>
      </c>
      <c r="L9" s="154">
        <v>2.8201000000000001</v>
      </c>
      <c r="M9" s="160">
        <v>5</v>
      </c>
      <c r="N9" s="160">
        <v>0.73</v>
      </c>
      <c r="O9" s="154"/>
      <c r="P9" s="154"/>
      <c r="Q9" s="154">
        <v>4.6210000000000004</v>
      </c>
      <c r="R9" s="160">
        <v>5</v>
      </c>
      <c r="S9" s="160">
        <v>0.46</v>
      </c>
      <c r="T9" s="154"/>
      <c r="U9" s="1"/>
      <c r="V9" s="1"/>
    </row>
    <row r="10" spans="1:22">
      <c r="A10" s="1"/>
      <c r="B10" s="1"/>
      <c r="C10" s="37" t="s">
        <v>386</v>
      </c>
      <c r="D10" s="63">
        <v>155.4512</v>
      </c>
      <c r="E10" s="158">
        <v>1</v>
      </c>
      <c r="F10" s="68" t="s">
        <v>265</v>
      </c>
      <c r="G10" s="37"/>
      <c r="H10" s="1"/>
      <c r="I10" s="1"/>
      <c r="J10" s="1"/>
      <c r="K10" s="66"/>
      <c r="L10" s="67"/>
      <c r="M10" s="37"/>
      <c r="N10" s="37"/>
      <c r="O10" s="37"/>
      <c r="P10" s="37"/>
      <c r="Q10" s="67"/>
      <c r="R10" s="37"/>
      <c r="S10" s="37"/>
      <c r="T10" s="37"/>
      <c r="U10" s="1"/>
      <c r="V10" s="1"/>
    </row>
    <row r="11" spans="1:22" ht="16.5" thickBot="1">
      <c r="A11" s="1"/>
      <c r="B11" s="1"/>
      <c r="C11" s="40" t="s">
        <v>388</v>
      </c>
      <c r="D11" s="154">
        <v>155.4512</v>
      </c>
      <c r="E11" s="159">
        <v>1</v>
      </c>
      <c r="F11" s="72" t="s">
        <v>265</v>
      </c>
      <c r="G11" s="40"/>
      <c r="H11" s="1"/>
      <c r="I11" s="1"/>
      <c r="J11" s="1"/>
      <c r="K11" s="66"/>
      <c r="L11" s="69"/>
      <c r="M11" s="37"/>
      <c r="N11" s="37"/>
      <c r="O11" s="37"/>
      <c r="P11" s="37"/>
      <c r="Q11" s="69"/>
      <c r="R11" s="37"/>
      <c r="S11" s="37"/>
      <c r="T11" s="37"/>
      <c r="U11" s="1"/>
      <c r="V11" s="1"/>
    </row>
    <row r="12" spans="1:22">
      <c r="A12" s="1"/>
      <c r="B12" s="1"/>
      <c r="C12" s="37" t="s">
        <v>218</v>
      </c>
      <c r="D12" s="64"/>
      <c r="E12" s="292"/>
      <c r="F12" s="292"/>
      <c r="G12" s="37"/>
      <c r="H12" s="1"/>
      <c r="I12" s="1"/>
      <c r="J12" s="1"/>
      <c r="K12" s="66"/>
      <c r="L12" s="69"/>
      <c r="M12" s="37"/>
      <c r="N12" s="37"/>
      <c r="O12" s="37"/>
      <c r="P12" s="37"/>
      <c r="Q12" s="69"/>
      <c r="R12" s="37"/>
      <c r="S12" s="37"/>
      <c r="T12" s="37"/>
      <c r="U12" s="1"/>
      <c r="V12" s="1"/>
    </row>
    <row r="13" spans="1:22">
      <c r="A13" s="1"/>
      <c r="B13" s="1"/>
      <c r="C13" s="66"/>
      <c r="D13" s="67"/>
      <c r="E13" s="37"/>
      <c r="F13" s="37"/>
      <c r="G13" s="1"/>
      <c r="H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2">
      <c r="A14" s="1"/>
      <c r="B14" s="1"/>
      <c r="C14" s="66"/>
      <c r="D14" s="67"/>
      <c r="E14" s="37"/>
      <c r="F14" s="37"/>
      <c r="G14" s="1"/>
      <c r="H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2">
      <c r="A15" s="1"/>
      <c r="B15" s="1"/>
      <c r="C15" s="66"/>
      <c r="D15" s="67"/>
      <c r="E15" s="37"/>
      <c r="F15" s="37"/>
      <c r="G15" s="1"/>
      <c r="H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2">
      <c r="A16" s="1"/>
      <c r="B16" s="1"/>
      <c r="C16" s="66"/>
      <c r="D16" s="69"/>
      <c r="E16" s="37"/>
      <c r="F16" s="37"/>
      <c r="G16" s="1"/>
      <c r="H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>
      <c r="A17" s="1"/>
      <c r="B17" s="1"/>
      <c r="C17" s="66"/>
      <c r="D17" s="69"/>
      <c r="E17" s="37"/>
      <c r="F17" s="37"/>
      <c r="G17" s="1"/>
      <c r="H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>
      <c r="A18" s="1"/>
      <c r="B18" s="1"/>
      <c r="C18" s="1"/>
      <c r="D18" s="1"/>
      <c r="E18" s="1"/>
      <c r="F18" s="1"/>
      <c r="G18" s="1"/>
      <c r="H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>
      <c r="A19" s="1"/>
      <c r="B19" s="1"/>
      <c r="C19" s="1"/>
      <c r="D19" s="1"/>
      <c r="E19" s="1"/>
      <c r="F19" s="1"/>
      <c r="G19" s="1"/>
      <c r="H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>
      <c r="A20" s="1"/>
      <c r="B20" s="1"/>
      <c r="C20" s="1"/>
      <c r="D20" s="1"/>
      <c r="E20" s="1"/>
      <c r="F20" s="1"/>
      <c r="G20" s="1"/>
      <c r="H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>
      <c r="A21" s="1"/>
      <c r="C21" s="1"/>
      <c r="D21" s="1"/>
      <c r="E21" s="1"/>
      <c r="F21" s="1"/>
    </row>
    <row r="22" spans="1:20">
      <c r="C22" s="1"/>
      <c r="D22" s="1"/>
      <c r="E22" s="1"/>
      <c r="F22" s="1"/>
    </row>
    <row r="23" spans="1:20">
      <c r="C23" s="1"/>
      <c r="D23" s="1"/>
      <c r="E23" s="1"/>
      <c r="F23" s="1"/>
    </row>
    <row r="24" spans="1:20">
      <c r="C24" s="1"/>
      <c r="D24" s="1"/>
      <c r="E24" s="1"/>
      <c r="F24" s="1"/>
    </row>
    <row r="25" spans="1:20">
      <c r="C25" s="1"/>
      <c r="D25" s="1"/>
      <c r="E25" s="1"/>
      <c r="F25" s="1"/>
    </row>
  </sheetData>
  <mergeCells count="6">
    <mergeCell ref="S5:T5"/>
    <mergeCell ref="E12:F12"/>
    <mergeCell ref="C6:G6"/>
    <mergeCell ref="C9:G9"/>
    <mergeCell ref="J8:J9"/>
    <mergeCell ref="N5:O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1947B-4FC5-DD46-B8A5-2BC9F7F4E17F}">
  <dimension ref="A1:AT43"/>
  <sheetViews>
    <sheetView tabSelected="1" topLeftCell="Y1" zoomScale="125" workbookViewId="0">
      <selection activeCell="AP3" sqref="AP3:AS4"/>
    </sheetView>
  </sheetViews>
  <sheetFormatPr defaultColWidth="11" defaultRowHeight="15.75"/>
  <cols>
    <col min="3" max="3" width="12.125" customWidth="1"/>
    <col min="4" max="4" width="12.875" customWidth="1"/>
    <col min="5" max="10" width="6.375" hidden="1" customWidth="1"/>
    <col min="11" max="14" width="6.875" customWidth="1"/>
    <col min="15" max="15" width="7.375" hidden="1" customWidth="1"/>
    <col min="16" max="21" width="6.875" customWidth="1"/>
    <col min="22" max="22" width="7.375" hidden="1" customWidth="1"/>
    <col min="23" max="24" width="6.875" customWidth="1"/>
    <col min="26" max="26" width="12.125" customWidth="1"/>
    <col min="27" max="27" width="12.5" bestFit="1" customWidth="1"/>
    <col min="28" max="45" width="6.875" customWidth="1"/>
    <col min="46" max="46" width="11" style="1"/>
  </cols>
  <sheetData>
    <row r="1" spans="1:45" s="1" customFormat="1" ht="16.5" thickBot="1"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1"/>
      <c r="AO1" s="141"/>
      <c r="AP1" s="141"/>
      <c r="AQ1" s="141"/>
      <c r="AR1" s="141"/>
      <c r="AS1" s="141"/>
    </row>
    <row r="2" spans="1:45">
      <c r="A2" s="1"/>
      <c r="B2" s="1"/>
      <c r="C2" s="229" t="s">
        <v>0</v>
      </c>
      <c r="D2" s="259"/>
      <c r="E2" s="249" t="s">
        <v>284</v>
      </c>
      <c r="F2" s="250"/>
      <c r="G2" s="250"/>
      <c r="H2" s="250"/>
      <c r="I2" s="250"/>
      <c r="J2" s="251"/>
      <c r="K2" s="238" t="s">
        <v>19</v>
      </c>
      <c r="L2" s="238"/>
      <c r="M2" s="238"/>
      <c r="N2" s="238"/>
      <c r="O2" s="238"/>
      <c r="P2" s="238"/>
      <c r="Q2" s="260"/>
      <c r="R2" s="249" t="s">
        <v>20</v>
      </c>
      <c r="S2" s="250"/>
      <c r="T2" s="250"/>
      <c r="U2" s="250"/>
      <c r="V2" s="250"/>
      <c r="W2" s="250"/>
      <c r="X2" s="250"/>
      <c r="Y2" s="1"/>
      <c r="Z2" s="228" t="s">
        <v>0</v>
      </c>
      <c r="AA2" s="258"/>
      <c r="AB2" s="250" t="s">
        <v>19</v>
      </c>
      <c r="AC2" s="250"/>
      <c r="AD2" s="250"/>
      <c r="AE2" s="250"/>
      <c r="AF2" s="250"/>
      <c r="AG2" s="251"/>
      <c r="AH2" s="249" t="s">
        <v>20</v>
      </c>
      <c r="AI2" s="250"/>
      <c r="AJ2" s="250"/>
      <c r="AK2" s="250"/>
      <c r="AL2" s="250"/>
      <c r="AM2" s="250"/>
      <c r="AN2" s="249" t="s">
        <v>419</v>
      </c>
      <c r="AO2" s="250"/>
      <c r="AP2" s="250"/>
      <c r="AQ2" s="250"/>
      <c r="AR2" s="250"/>
      <c r="AS2" s="250"/>
    </row>
    <row r="3" spans="1:45" ht="22.5" customHeight="1">
      <c r="A3" s="1"/>
      <c r="B3" s="1"/>
      <c r="C3" s="229"/>
      <c r="D3" s="259"/>
      <c r="E3" s="163"/>
      <c r="F3" s="162"/>
      <c r="G3" s="162"/>
      <c r="H3" s="162"/>
      <c r="I3" s="162"/>
      <c r="J3" s="161"/>
      <c r="K3" s="318" t="s">
        <v>392</v>
      </c>
      <c r="L3" s="315"/>
      <c r="M3" s="314" t="s">
        <v>393</v>
      </c>
      <c r="N3" s="315"/>
      <c r="O3" s="312" t="s">
        <v>232</v>
      </c>
      <c r="P3" s="316" t="s">
        <v>394</v>
      </c>
      <c r="Q3" s="304"/>
      <c r="R3" s="318" t="s">
        <v>392</v>
      </c>
      <c r="S3" s="315"/>
      <c r="T3" s="314" t="s">
        <v>393</v>
      </c>
      <c r="U3" s="315"/>
      <c r="V3" s="312" t="s">
        <v>232</v>
      </c>
      <c r="W3" s="316" t="s">
        <v>400</v>
      </c>
      <c r="X3" s="298"/>
      <c r="Y3" s="1"/>
      <c r="Z3" s="229"/>
      <c r="AA3" s="259"/>
      <c r="AB3" s="297" t="s">
        <v>392</v>
      </c>
      <c r="AC3" s="297"/>
      <c r="AD3" s="297" t="s">
        <v>393</v>
      </c>
      <c r="AE3" s="297"/>
      <c r="AF3" s="298" t="s">
        <v>394</v>
      </c>
      <c r="AG3" s="304"/>
      <c r="AH3" s="297" t="s">
        <v>392</v>
      </c>
      <c r="AI3" s="297"/>
      <c r="AJ3" s="297" t="s">
        <v>393</v>
      </c>
      <c r="AK3" s="297"/>
      <c r="AL3" s="298" t="s">
        <v>400</v>
      </c>
      <c r="AM3" s="304"/>
      <c r="AN3" s="297" t="s">
        <v>392</v>
      </c>
      <c r="AO3" s="297"/>
      <c r="AP3" s="297" t="s">
        <v>393</v>
      </c>
      <c r="AQ3" s="297"/>
      <c r="AR3" s="298" t="s">
        <v>394</v>
      </c>
      <c r="AS3" s="304"/>
    </row>
    <row r="4" spans="1:45" ht="39.950000000000003" customHeight="1" thickBot="1">
      <c r="A4" s="1"/>
      <c r="B4" s="1"/>
      <c r="C4" s="230"/>
      <c r="D4" s="303"/>
      <c r="E4" s="310" t="s">
        <v>74</v>
      </c>
      <c r="F4" s="319"/>
      <c r="G4" s="319" t="s">
        <v>75</v>
      </c>
      <c r="H4" s="319"/>
      <c r="I4" s="320" t="s">
        <v>381</v>
      </c>
      <c r="J4" s="321"/>
      <c r="K4" s="310" t="s">
        <v>74</v>
      </c>
      <c r="L4" s="311"/>
      <c r="M4" s="319" t="s">
        <v>391</v>
      </c>
      <c r="N4" s="311"/>
      <c r="O4" s="313"/>
      <c r="P4" s="317"/>
      <c r="Q4" s="305"/>
      <c r="R4" s="310" t="s">
        <v>74</v>
      </c>
      <c r="S4" s="311"/>
      <c r="T4" s="319" t="s">
        <v>399</v>
      </c>
      <c r="U4" s="311"/>
      <c r="V4" s="313"/>
      <c r="W4" s="317"/>
      <c r="X4" s="299"/>
      <c r="Y4" s="1"/>
      <c r="Z4" s="230"/>
      <c r="AA4" s="303"/>
      <c r="AB4" s="299" t="s">
        <v>74</v>
      </c>
      <c r="AC4" s="299"/>
      <c r="AD4" s="299" t="s">
        <v>391</v>
      </c>
      <c r="AE4" s="299"/>
      <c r="AF4" s="299"/>
      <c r="AG4" s="305"/>
      <c r="AH4" s="299" t="s">
        <v>74</v>
      </c>
      <c r="AI4" s="299"/>
      <c r="AJ4" s="299" t="s">
        <v>399</v>
      </c>
      <c r="AK4" s="299"/>
      <c r="AL4" s="299"/>
      <c r="AM4" s="305"/>
      <c r="AN4" s="299" t="s">
        <v>74</v>
      </c>
      <c r="AO4" s="299"/>
      <c r="AP4" s="299" t="s">
        <v>391</v>
      </c>
      <c r="AQ4" s="299"/>
      <c r="AR4" s="299"/>
      <c r="AS4" s="305"/>
    </row>
    <row r="5" spans="1:45">
      <c r="A5" s="1"/>
      <c r="B5" s="1"/>
      <c r="C5" s="322" t="s">
        <v>284</v>
      </c>
      <c r="D5" s="323"/>
      <c r="E5" s="144">
        <f t="shared" ref="E5:E26" si="0">K5+R5</f>
        <v>883</v>
      </c>
      <c r="F5" s="148" t="s">
        <v>3</v>
      </c>
      <c r="G5" s="145">
        <f>M5+T5</f>
        <v>1626</v>
      </c>
      <c r="H5" s="148" t="s">
        <v>3</v>
      </c>
      <c r="I5" s="145">
        <f t="shared" ref="I5:I26" si="1">P5+W5</f>
        <v>997</v>
      </c>
      <c r="J5" s="149" t="s">
        <v>3</v>
      </c>
      <c r="K5" s="164">
        <v>62</v>
      </c>
      <c r="L5" s="149" t="s">
        <v>3</v>
      </c>
      <c r="M5" s="146">
        <v>563</v>
      </c>
      <c r="N5" s="149" t="s">
        <v>3</v>
      </c>
      <c r="O5" s="173" t="s">
        <v>3</v>
      </c>
      <c r="P5" s="146">
        <v>520</v>
      </c>
      <c r="Q5" s="149" t="s">
        <v>3</v>
      </c>
      <c r="R5" s="164">
        <v>821</v>
      </c>
      <c r="S5" s="149" t="s">
        <v>3</v>
      </c>
      <c r="T5" s="146">
        <v>1063</v>
      </c>
      <c r="U5" s="149" t="s">
        <v>3</v>
      </c>
      <c r="V5" s="173" t="s">
        <v>3</v>
      </c>
      <c r="W5" s="146">
        <v>477</v>
      </c>
      <c r="X5" s="148" t="s">
        <v>3</v>
      </c>
      <c r="Y5" s="1"/>
      <c r="Z5" s="301" t="s">
        <v>284</v>
      </c>
      <c r="AA5" s="302"/>
      <c r="AB5" s="129">
        <v>62</v>
      </c>
      <c r="AC5" s="194" t="s">
        <v>3</v>
      </c>
      <c r="AD5" s="126">
        <v>563</v>
      </c>
      <c r="AE5" s="194" t="s">
        <v>3</v>
      </c>
      <c r="AF5" s="126">
        <v>520</v>
      </c>
      <c r="AG5" s="195" t="s">
        <v>3</v>
      </c>
      <c r="AH5" s="129">
        <v>821</v>
      </c>
      <c r="AI5" s="194" t="s">
        <v>3</v>
      </c>
      <c r="AJ5" s="126">
        <v>959</v>
      </c>
      <c r="AK5" s="194" t="s">
        <v>3</v>
      </c>
      <c r="AL5" s="126">
        <v>477</v>
      </c>
      <c r="AM5" s="149" t="s">
        <v>3</v>
      </c>
      <c r="AN5" s="126">
        <v>33</v>
      </c>
      <c r="AO5" s="194" t="s">
        <v>3</v>
      </c>
      <c r="AP5" s="126">
        <v>97</v>
      </c>
      <c r="AQ5" s="194" t="s">
        <v>3</v>
      </c>
      <c r="AR5" s="126">
        <v>79</v>
      </c>
      <c r="AS5" s="194" t="s">
        <v>3</v>
      </c>
    </row>
    <row r="6" spans="1:45">
      <c r="A6" s="1"/>
      <c r="B6" s="1"/>
      <c r="C6" s="239" t="s">
        <v>4</v>
      </c>
      <c r="D6" s="87" t="s">
        <v>5</v>
      </c>
      <c r="E6" s="134">
        <f t="shared" si="0"/>
        <v>65</v>
      </c>
      <c r="F6" s="142">
        <f>E6/E$5</f>
        <v>7.3612684031710077E-2</v>
      </c>
      <c r="G6" s="132">
        <f t="shared" ref="G6:G26" si="2">M6+T6</f>
        <v>84</v>
      </c>
      <c r="H6" s="142">
        <f>G6/G$5</f>
        <v>5.1660516605166053E-2</v>
      </c>
      <c r="I6" s="132">
        <f t="shared" si="1"/>
        <v>34</v>
      </c>
      <c r="J6" s="150">
        <f>I6/I$5</f>
        <v>3.4102306920762285E-2</v>
      </c>
      <c r="K6" s="128">
        <v>6</v>
      </c>
      <c r="L6" s="170">
        <v>0.13600000000000001</v>
      </c>
      <c r="M6" s="127">
        <v>22</v>
      </c>
      <c r="N6" s="170">
        <v>5.1999999999999998E-2</v>
      </c>
      <c r="O6" s="306">
        <v>0.22</v>
      </c>
      <c r="P6" s="127">
        <v>18</v>
      </c>
      <c r="Q6" s="170">
        <v>4.3999999999999997E-2</v>
      </c>
      <c r="R6" s="128">
        <v>59</v>
      </c>
      <c r="S6" s="170">
        <v>0.09</v>
      </c>
      <c r="T6" s="127">
        <v>62</v>
      </c>
      <c r="U6" s="170">
        <v>7.3999999999999996E-2</v>
      </c>
      <c r="V6" s="306">
        <v>0.13</v>
      </c>
      <c r="W6" s="127">
        <v>16</v>
      </c>
      <c r="X6" s="165">
        <v>4.2999999999999997E-2</v>
      </c>
      <c r="Y6" s="1"/>
      <c r="Z6" s="239" t="s">
        <v>4</v>
      </c>
      <c r="AA6" s="87" t="s">
        <v>5</v>
      </c>
      <c r="AB6" s="128">
        <v>6</v>
      </c>
      <c r="AC6" s="165">
        <v>0.13600000000000001</v>
      </c>
      <c r="AD6" s="127">
        <v>22</v>
      </c>
      <c r="AE6" s="165">
        <v>5.1999999999999998E-2</v>
      </c>
      <c r="AF6" s="127">
        <v>18</v>
      </c>
      <c r="AG6" s="170">
        <v>4.3999999999999997E-2</v>
      </c>
      <c r="AH6" s="127">
        <v>59</v>
      </c>
      <c r="AI6" s="165">
        <v>0.09</v>
      </c>
      <c r="AJ6" s="127">
        <v>60</v>
      </c>
      <c r="AK6" s="165">
        <v>0.08</v>
      </c>
      <c r="AL6" s="127">
        <v>15</v>
      </c>
      <c r="AM6" s="170">
        <v>4.4999999999999998E-2</v>
      </c>
      <c r="AN6" s="127">
        <v>26</v>
      </c>
      <c r="AO6" s="165">
        <v>0.76700000000000002</v>
      </c>
      <c r="AP6" s="127">
        <v>69</v>
      </c>
      <c r="AQ6" s="165">
        <v>0.71599999999999997</v>
      </c>
      <c r="AR6" s="127">
        <v>53</v>
      </c>
      <c r="AS6" s="165">
        <v>0.69099999999999995</v>
      </c>
    </row>
    <row r="7" spans="1:45">
      <c r="A7" s="1"/>
      <c r="B7" s="1"/>
      <c r="C7" s="240"/>
      <c r="D7" s="85" t="s">
        <v>16</v>
      </c>
      <c r="E7" s="135">
        <f t="shared" si="0"/>
        <v>168</v>
      </c>
      <c r="F7" s="140">
        <f t="shared" ref="F7:F26" si="3">E7/E$5</f>
        <v>0.19026047565118911</v>
      </c>
      <c r="G7" s="5">
        <f t="shared" si="2"/>
        <v>326</v>
      </c>
      <c r="H7" s="140">
        <f t="shared" ref="H7:H26" si="4">G7/G$5</f>
        <v>0.2004920049200492</v>
      </c>
      <c r="I7" s="5">
        <f t="shared" si="1"/>
        <v>212</v>
      </c>
      <c r="J7" s="151">
        <f t="shared" ref="J7:J26" si="5">I7/I$5</f>
        <v>0.21263791374122368</v>
      </c>
      <c r="K7" s="130">
        <v>13</v>
      </c>
      <c r="L7" s="166">
        <v>0.29899999999999999</v>
      </c>
      <c r="M7" s="125">
        <v>146</v>
      </c>
      <c r="N7" s="166">
        <v>0.34399999999999997</v>
      </c>
      <c r="O7" s="307"/>
      <c r="P7" s="125">
        <v>139</v>
      </c>
      <c r="Q7" s="166">
        <v>0.35899999999999999</v>
      </c>
      <c r="R7" s="130">
        <v>155</v>
      </c>
      <c r="S7" s="166">
        <v>0.27400000000000002</v>
      </c>
      <c r="T7" s="125">
        <v>180</v>
      </c>
      <c r="U7" s="166">
        <v>0.24399999999999999</v>
      </c>
      <c r="V7" s="307"/>
      <c r="W7" s="125">
        <v>73</v>
      </c>
      <c r="X7" s="167">
        <v>0.22600000000000001</v>
      </c>
      <c r="Y7" s="1"/>
      <c r="Z7" s="240"/>
      <c r="AA7" s="85" t="s">
        <v>16</v>
      </c>
      <c r="AB7" s="130">
        <v>13</v>
      </c>
      <c r="AC7" s="167">
        <v>0.29899999999999999</v>
      </c>
      <c r="AD7" s="125">
        <v>146</v>
      </c>
      <c r="AE7" s="167">
        <v>0.34399999999999997</v>
      </c>
      <c r="AF7" s="125">
        <v>139</v>
      </c>
      <c r="AG7" s="166">
        <v>0.35899999999999999</v>
      </c>
      <c r="AH7" s="125">
        <v>155</v>
      </c>
      <c r="AI7" s="167">
        <v>0.27400000000000002</v>
      </c>
      <c r="AJ7" s="125">
        <v>158</v>
      </c>
      <c r="AK7" s="167">
        <v>0.24099999999999999</v>
      </c>
      <c r="AL7" s="125">
        <v>60</v>
      </c>
      <c r="AM7" s="166">
        <v>0.217</v>
      </c>
      <c r="AN7" s="125">
        <v>2</v>
      </c>
      <c r="AO7" s="167">
        <v>0.108</v>
      </c>
      <c r="AP7" s="125">
        <v>17</v>
      </c>
      <c r="AQ7" s="167">
        <v>0.19900000000000001</v>
      </c>
      <c r="AR7" s="125">
        <v>16</v>
      </c>
      <c r="AS7" s="167">
        <v>0.219</v>
      </c>
    </row>
    <row r="8" spans="1:45">
      <c r="A8" s="1"/>
      <c r="B8" s="1"/>
      <c r="C8" s="240"/>
      <c r="D8" s="85" t="s">
        <v>17</v>
      </c>
      <c r="E8" s="135">
        <f t="shared" si="0"/>
        <v>285</v>
      </c>
      <c r="F8" s="140">
        <f t="shared" si="3"/>
        <v>0.32276330690826727</v>
      </c>
      <c r="G8" s="5">
        <f t="shared" si="2"/>
        <v>606</v>
      </c>
      <c r="H8" s="140">
        <f t="shared" si="4"/>
        <v>0.37269372693726938</v>
      </c>
      <c r="I8" s="5">
        <f t="shared" si="1"/>
        <v>390</v>
      </c>
      <c r="J8" s="151">
        <f t="shared" si="5"/>
        <v>0.39117352056168503</v>
      </c>
      <c r="K8" s="130">
        <v>23</v>
      </c>
      <c r="L8" s="166">
        <v>0.41499999999999998</v>
      </c>
      <c r="M8" s="125">
        <v>216</v>
      </c>
      <c r="N8" s="166">
        <v>0.38</v>
      </c>
      <c r="O8" s="307"/>
      <c r="P8" s="125">
        <v>197</v>
      </c>
      <c r="Q8" s="166">
        <v>0.36799999999999999</v>
      </c>
      <c r="R8" s="130">
        <v>262</v>
      </c>
      <c r="S8" s="166">
        <v>0.35499999999999998</v>
      </c>
      <c r="T8" s="125">
        <v>390</v>
      </c>
      <c r="U8" s="166">
        <v>0.40200000000000002</v>
      </c>
      <c r="V8" s="307"/>
      <c r="W8" s="125">
        <v>193</v>
      </c>
      <c r="X8" s="167">
        <v>0.44500000000000001</v>
      </c>
      <c r="Y8" s="1"/>
      <c r="Z8" s="240"/>
      <c r="AA8" s="85" t="s">
        <v>17</v>
      </c>
      <c r="AB8" s="130">
        <v>23</v>
      </c>
      <c r="AC8" s="167">
        <v>0.41499999999999998</v>
      </c>
      <c r="AD8" s="125">
        <v>216</v>
      </c>
      <c r="AE8" s="167">
        <v>0.38</v>
      </c>
      <c r="AF8" s="125">
        <v>197</v>
      </c>
      <c r="AG8" s="166">
        <v>0.36799999999999999</v>
      </c>
      <c r="AH8" s="125">
        <v>262</v>
      </c>
      <c r="AI8" s="167">
        <v>0.35499999999999998</v>
      </c>
      <c r="AJ8" s="125">
        <v>352</v>
      </c>
      <c r="AK8" s="167">
        <v>0.40200000000000002</v>
      </c>
      <c r="AL8" s="125">
        <v>171</v>
      </c>
      <c r="AM8" s="166">
        <v>0.44600000000000001</v>
      </c>
      <c r="AN8" s="125">
        <v>2</v>
      </c>
      <c r="AO8" s="167">
        <v>6.9000000000000006E-2</v>
      </c>
      <c r="AP8" s="125">
        <v>7</v>
      </c>
      <c r="AQ8" s="167">
        <v>6.8000000000000005E-2</v>
      </c>
      <c r="AR8" s="125">
        <v>6</v>
      </c>
      <c r="AS8" s="167">
        <v>6.9000000000000006E-2</v>
      </c>
    </row>
    <row r="9" spans="1:45">
      <c r="A9" s="1"/>
      <c r="B9" s="1"/>
      <c r="C9" s="241"/>
      <c r="D9" s="86" t="s">
        <v>21</v>
      </c>
      <c r="E9" s="131">
        <f t="shared" si="0"/>
        <v>365</v>
      </c>
      <c r="F9" s="147">
        <f t="shared" si="3"/>
        <v>0.41336353340883353</v>
      </c>
      <c r="G9" s="133">
        <f t="shared" si="2"/>
        <v>610</v>
      </c>
      <c r="H9" s="147">
        <f t="shared" si="4"/>
        <v>0.3751537515375154</v>
      </c>
      <c r="I9" s="133">
        <f t="shared" si="1"/>
        <v>361</v>
      </c>
      <c r="J9" s="152">
        <f t="shared" si="5"/>
        <v>0.362086258776329</v>
      </c>
      <c r="K9" s="129">
        <v>20</v>
      </c>
      <c r="L9" s="168">
        <v>0.15</v>
      </c>
      <c r="M9" s="126">
        <v>179</v>
      </c>
      <c r="N9" s="168">
        <v>0.224</v>
      </c>
      <c r="O9" s="308"/>
      <c r="P9" s="126">
        <v>166</v>
      </c>
      <c r="Q9" s="168">
        <v>0.22900000000000001</v>
      </c>
      <c r="R9" s="129">
        <v>345</v>
      </c>
      <c r="S9" s="168">
        <v>0.28000000000000003</v>
      </c>
      <c r="T9" s="126">
        <v>431</v>
      </c>
      <c r="U9" s="168">
        <v>0.27900000000000003</v>
      </c>
      <c r="V9" s="308"/>
      <c r="W9" s="126">
        <v>195</v>
      </c>
      <c r="X9" s="169">
        <v>0.28599999999999998</v>
      </c>
      <c r="Y9" s="1"/>
      <c r="Z9" s="241"/>
      <c r="AA9" s="86" t="s">
        <v>21</v>
      </c>
      <c r="AB9" s="129">
        <v>20</v>
      </c>
      <c r="AC9" s="169">
        <v>0.15</v>
      </c>
      <c r="AD9" s="126">
        <v>179</v>
      </c>
      <c r="AE9" s="169">
        <v>0.224</v>
      </c>
      <c r="AF9" s="126">
        <v>166</v>
      </c>
      <c r="AG9" s="168">
        <v>0.22900000000000001</v>
      </c>
      <c r="AH9" s="126">
        <v>345</v>
      </c>
      <c r="AI9" s="169">
        <v>0.28000000000000003</v>
      </c>
      <c r="AJ9" s="126">
        <v>389</v>
      </c>
      <c r="AK9" s="169">
        <v>0.27700000000000002</v>
      </c>
      <c r="AL9" s="126">
        <v>177</v>
      </c>
      <c r="AM9" s="168">
        <v>0.29299999999999998</v>
      </c>
      <c r="AN9" s="126">
        <v>3</v>
      </c>
      <c r="AO9" s="169">
        <v>5.6000000000000001E-2</v>
      </c>
      <c r="AP9" s="126">
        <v>4</v>
      </c>
      <c r="AQ9" s="169">
        <v>1.7999999999999999E-2</v>
      </c>
      <c r="AR9" s="126">
        <v>4</v>
      </c>
      <c r="AS9" s="169">
        <v>2.1000000000000001E-2</v>
      </c>
    </row>
    <row r="10" spans="1:45">
      <c r="A10" s="1"/>
      <c r="B10" s="1"/>
      <c r="C10" s="239" t="s">
        <v>6</v>
      </c>
      <c r="D10" s="87" t="s">
        <v>14</v>
      </c>
      <c r="E10" s="134">
        <f t="shared" si="0"/>
        <v>345</v>
      </c>
      <c r="F10" s="142">
        <f t="shared" si="3"/>
        <v>0.39071347678369195</v>
      </c>
      <c r="G10" s="132">
        <f t="shared" si="2"/>
        <v>629</v>
      </c>
      <c r="H10" s="142">
        <f t="shared" si="4"/>
        <v>0.38683886838868387</v>
      </c>
      <c r="I10" s="132">
        <f t="shared" si="1"/>
        <v>392</v>
      </c>
      <c r="J10" s="150">
        <f t="shared" si="5"/>
        <v>0.39317953861584753</v>
      </c>
      <c r="K10" s="128">
        <v>18</v>
      </c>
      <c r="L10" s="170">
        <v>0.38700000000000001</v>
      </c>
      <c r="M10" s="127">
        <v>206</v>
      </c>
      <c r="N10" s="170">
        <v>0.41299999999999998</v>
      </c>
      <c r="O10" s="306">
        <v>0.27</v>
      </c>
      <c r="P10" s="127">
        <v>195</v>
      </c>
      <c r="Q10" s="170">
        <v>0.42099999999999999</v>
      </c>
      <c r="R10" s="128">
        <v>327</v>
      </c>
      <c r="S10" s="170">
        <v>0.45700000000000002</v>
      </c>
      <c r="T10" s="127">
        <v>423</v>
      </c>
      <c r="U10" s="170">
        <v>0.44400000000000001</v>
      </c>
      <c r="V10" s="306">
        <v>0.89</v>
      </c>
      <c r="W10" s="127">
        <v>197</v>
      </c>
      <c r="X10" s="165">
        <v>0.44500000000000001</v>
      </c>
      <c r="Y10" s="1"/>
      <c r="Z10" s="239" t="s">
        <v>6</v>
      </c>
      <c r="AA10" s="87" t="s">
        <v>14</v>
      </c>
      <c r="AB10" s="128">
        <v>18</v>
      </c>
      <c r="AC10" s="165">
        <v>0.38700000000000001</v>
      </c>
      <c r="AD10" s="127">
        <v>206</v>
      </c>
      <c r="AE10" s="165">
        <v>0.41299999999999998</v>
      </c>
      <c r="AF10" s="127">
        <v>195</v>
      </c>
      <c r="AG10" s="170">
        <v>0.42099999999999999</v>
      </c>
      <c r="AH10" s="127">
        <v>327</v>
      </c>
      <c r="AI10" s="165">
        <v>0.45700000000000002</v>
      </c>
      <c r="AJ10" s="127">
        <v>375</v>
      </c>
      <c r="AK10" s="165">
        <v>0.439</v>
      </c>
      <c r="AL10" s="127">
        <v>169</v>
      </c>
      <c r="AM10" s="170">
        <v>0.43099999999999999</v>
      </c>
      <c r="AN10" s="127">
        <v>14</v>
      </c>
      <c r="AO10" s="165">
        <v>0.41499999999999998</v>
      </c>
      <c r="AP10" s="127">
        <v>44</v>
      </c>
      <c r="AQ10" s="165">
        <v>0.48699999999999999</v>
      </c>
      <c r="AR10" s="127">
        <v>36</v>
      </c>
      <c r="AS10" s="165">
        <v>0.496</v>
      </c>
    </row>
    <row r="11" spans="1:45">
      <c r="A11" s="1"/>
      <c r="B11" s="1"/>
      <c r="C11" s="241"/>
      <c r="D11" s="86" t="s">
        <v>15</v>
      </c>
      <c r="E11" s="131">
        <f t="shared" si="0"/>
        <v>538</v>
      </c>
      <c r="F11" s="147">
        <f t="shared" si="3"/>
        <v>0.60928652321630805</v>
      </c>
      <c r="G11" s="133">
        <f t="shared" si="2"/>
        <v>997</v>
      </c>
      <c r="H11" s="147">
        <f t="shared" si="4"/>
        <v>0.61316113161131613</v>
      </c>
      <c r="I11" s="133">
        <f t="shared" si="1"/>
        <v>605</v>
      </c>
      <c r="J11" s="152">
        <f t="shared" si="5"/>
        <v>0.60682046138415247</v>
      </c>
      <c r="K11" s="129">
        <v>44</v>
      </c>
      <c r="L11" s="168">
        <v>0.61299999999999999</v>
      </c>
      <c r="M11" s="126">
        <v>357</v>
      </c>
      <c r="N11" s="168">
        <v>0.58699999999999997</v>
      </c>
      <c r="O11" s="308"/>
      <c r="P11" s="126">
        <v>325</v>
      </c>
      <c r="Q11" s="168">
        <v>0.57899999999999996</v>
      </c>
      <c r="R11" s="129">
        <v>494</v>
      </c>
      <c r="S11" s="168">
        <v>0.54300000000000004</v>
      </c>
      <c r="T11" s="126">
        <v>640</v>
      </c>
      <c r="U11" s="168">
        <v>0.55600000000000005</v>
      </c>
      <c r="V11" s="308"/>
      <c r="W11" s="126">
        <v>280</v>
      </c>
      <c r="X11" s="169">
        <v>0.55500000000000005</v>
      </c>
      <c r="Y11" s="1"/>
      <c r="Z11" s="241"/>
      <c r="AA11" s="86" t="s">
        <v>15</v>
      </c>
      <c r="AB11" s="129">
        <v>44</v>
      </c>
      <c r="AC11" s="169">
        <v>0.61299999999999999</v>
      </c>
      <c r="AD11" s="126">
        <v>357</v>
      </c>
      <c r="AE11" s="169">
        <v>0.58699999999999997</v>
      </c>
      <c r="AF11" s="126">
        <v>325</v>
      </c>
      <c r="AG11" s="168">
        <v>0.57899999999999996</v>
      </c>
      <c r="AH11" s="126">
        <v>494</v>
      </c>
      <c r="AI11" s="169">
        <v>0.54300000000000004</v>
      </c>
      <c r="AJ11" s="126">
        <v>584</v>
      </c>
      <c r="AK11" s="169">
        <v>0.56100000000000005</v>
      </c>
      <c r="AL11" s="126">
        <v>254</v>
      </c>
      <c r="AM11" s="168">
        <v>0.56899999999999995</v>
      </c>
      <c r="AN11" s="126">
        <v>19</v>
      </c>
      <c r="AO11" s="169">
        <v>0.58499999999999996</v>
      </c>
      <c r="AP11" s="126">
        <v>53</v>
      </c>
      <c r="AQ11" s="169">
        <v>0.51300000000000001</v>
      </c>
      <c r="AR11" s="126">
        <v>43</v>
      </c>
      <c r="AS11" s="169">
        <v>0.504</v>
      </c>
    </row>
    <row r="12" spans="1:45">
      <c r="A12" s="1"/>
      <c r="B12" s="1"/>
      <c r="C12" s="239" t="s">
        <v>80</v>
      </c>
      <c r="D12" s="87" t="s">
        <v>77</v>
      </c>
      <c r="E12" s="134">
        <f t="shared" si="0"/>
        <v>63</v>
      </c>
      <c r="F12" s="142">
        <f t="shared" si="3"/>
        <v>7.1347678369195922E-2</v>
      </c>
      <c r="G12" s="132">
        <f t="shared" si="2"/>
        <v>96</v>
      </c>
      <c r="H12" s="142">
        <f t="shared" si="4"/>
        <v>5.9040590405904057E-2</v>
      </c>
      <c r="I12" s="132">
        <f t="shared" si="1"/>
        <v>47</v>
      </c>
      <c r="J12" s="150">
        <f t="shared" si="5"/>
        <v>4.7141424272818457E-2</v>
      </c>
      <c r="K12" s="128">
        <v>5</v>
      </c>
      <c r="L12" s="170">
        <v>9.9000000000000005E-2</v>
      </c>
      <c r="M12" s="127">
        <v>29</v>
      </c>
      <c r="N12" s="170">
        <v>6.3E-2</v>
      </c>
      <c r="O12" s="306">
        <v>0.56000000000000005</v>
      </c>
      <c r="P12" s="127">
        <v>25</v>
      </c>
      <c r="Q12" s="170">
        <v>5.8999999999999997E-2</v>
      </c>
      <c r="R12" s="128">
        <v>58</v>
      </c>
      <c r="S12" s="170">
        <v>7.4999999999999997E-2</v>
      </c>
      <c r="T12" s="127">
        <v>67</v>
      </c>
      <c r="U12" s="170">
        <v>6.6000000000000003E-2</v>
      </c>
      <c r="V12" s="306">
        <v>0.64</v>
      </c>
      <c r="W12" s="127">
        <v>22</v>
      </c>
      <c r="X12" s="165">
        <v>4.9000000000000002E-2</v>
      </c>
      <c r="Y12" s="1"/>
      <c r="Z12" s="239" t="s">
        <v>80</v>
      </c>
      <c r="AA12" s="87" t="s">
        <v>77</v>
      </c>
      <c r="AB12" s="128">
        <v>5</v>
      </c>
      <c r="AC12" s="165">
        <v>9.9000000000000005E-2</v>
      </c>
      <c r="AD12" s="127">
        <v>29</v>
      </c>
      <c r="AE12" s="165">
        <v>6.3E-2</v>
      </c>
      <c r="AF12" s="127">
        <v>25</v>
      </c>
      <c r="AG12" s="170">
        <v>5.8999999999999997E-2</v>
      </c>
      <c r="AH12" s="127">
        <v>58</v>
      </c>
      <c r="AI12" s="165">
        <v>7.4999999999999997E-2</v>
      </c>
      <c r="AJ12" s="127">
        <v>60</v>
      </c>
      <c r="AK12" s="165">
        <v>6.8000000000000005E-2</v>
      </c>
      <c r="AL12" s="127">
        <v>18</v>
      </c>
      <c r="AM12" s="170">
        <v>4.8000000000000001E-2</v>
      </c>
      <c r="AN12" s="127">
        <v>12</v>
      </c>
      <c r="AO12" s="165">
        <v>0.377</v>
      </c>
      <c r="AP12" s="127">
        <v>40</v>
      </c>
      <c r="AQ12" s="165">
        <v>0.42299999999999999</v>
      </c>
      <c r="AR12" s="127">
        <v>32</v>
      </c>
      <c r="AS12" s="165">
        <v>0.42399999999999999</v>
      </c>
    </row>
    <row r="13" spans="1:45">
      <c r="A13" s="1"/>
      <c r="B13" s="1"/>
      <c r="C13" s="240"/>
      <c r="D13" s="85" t="s">
        <v>78</v>
      </c>
      <c r="E13" s="135">
        <f t="shared" si="0"/>
        <v>545</v>
      </c>
      <c r="F13" s="140">
        <f t="shared" si="3"/>
        <v>0.61721404303510763</v>
      </c>
      <c r="G13" s="5">
        <f t="shared" si="2"/>
        <v>1044</v>
      </c>
      <c r="H13" s="140">
        <f t="shared" si="4"/>
        <v>0.64206642066420661</v>
      </c>
      <c r="I13" s="5">
        <f t="shared" si="1"/>
        <v>653</v>
      </c>
      <c r="J13" s="151">
        <f t="shared" si="5"/>
        <v>0.65496489468405217</v>
      </c>
      <c r="K13" s="130">
        <v>39</v>
      </c>
      <c r="L13" s="166">
        <v>0.59299999999999997</v>
      </c>
      <c r="M13" s="125">
        <v>371</v>
      </c>
      <c r="N13" s="166">
        <v>0.63800000000000001</v>
      </c>
      <c r="O13" s="307"/>
      <c r="P13" s="125">
        <v>341</v>
      </c>
      <c r="Q13" s="166">
        <v>0.63500000000000001</v>
      </c>
      <c r="R13" s="130">
        <v>506</v>
      </c>
      <c r="S13" s="166">
        <v>0.59399999999999997</v>
      </c>
      <c r="T13" s="125">
        <v>673</v>
      </c>
      <c r="U13" s="166">
        <v>0.61099999999999999</v>
      </c>
      <c r="V13" s="307"/>
      <c r="W13" s="125">
        <v>312</v>
      </c>
      <c r="X13" s="167">
        <v>0.63800000000000001</v>
      </c>
      <c r="Y13" s="1"/>
      <c r="Z13" s="240"/>
      <c r="AA13" s="85" t="s">
        <v>78</v>
      </c>
      <c r="AB13" s="130">
        <v>39</v>
      </c>
      <c r="AC13" s="167">
        <v>0.59299999999999997</v>
      </c>
      <c r="AD13" s="125">
        <v>371</v>
      </c>
      <c r="AE13" s="167">
        <v>0.63800000000000001</v>
      </c>
      <c r="AF13" s="125">
        <v>341</v>
      </c>
      <c r="AG13" s="166">
        <v>0.63500000000000001</v>
      </c>
      <c r="AH13" s="125">
        <v>506</v>
      </c>
      <c r="AI13" s="167">
        <v>0.59399999999999997</v>
      </c>
      <c r="AJ13" s="125">
        <v>610</v>
      </c>
      <c r="AK13" s="167">
        <v>0.61299999999999999</v>
      </c>
      <c r="AL13" s="125">
        <v>279</v>
      </c>
      <c r="AM13" s="166">
        <v>0.64300000000000002</v>
      </c>
      <c r="AN13" s="125">
        <v>15</v>
      </c>
      <c r="AO13" s="167">
        <v>0.46600000000000003</v>
      </c>
      <c r="AP13" s="125">
        <v>44</v>
      </c>
      <c r="AQ13" s="167">
        <v>0.46</v>
      </c>
      <c r="AR13" s="125">
        <v>38</v>
      </c>
      <c r="AS13" s="167">
        <v>0.47399999999999998</v>
      </c>
    </row>
    <row r="14" spans="1:45">
      <c r="A14" s="1"/>
      <c r="B14" s="1"/>
      <c r="C14" s="241"/>
      <c r="D14" s="86" t="s">
        <v>79</v>
      </c>
      <c r="E14" s="131">
        <f t="shared" si="0"/>
        <v>267</v>
      </c>
      <c r="F14" s="147">
        <f t="shared" si="3"/>
        <v>0.30237825594563988</v>
      </c>
      <c r="G14" s="133">
        <f t="shared" si="2"/>
        <v>465</v>
      </c>
      <c r="H14" s="147">
        <f t="shared" si="4"/>
        <v>0.2859778597785978</v>
      </c>
      <c r="I14" s="133">
        <f t="shared" si="1"/>
        <v>282</v>
      </c>
      <c r="J14" s="152">
        <f t="shared" si="5"/>
        <v>0.28284854563691075</v>
      </c>
      <c r="K14" s="129">
        <v>17</v>
      </c>
      <c r="L14" s="168">
        <v>0.30199999999999999</v>
      </c>
      <c r="M14" s="126">
        <v>155</v>
      </c>
      <c r="N14" s="168">
        <v>0.27700000000000002</v>
      </c>
      <c r="O14" s="308"/>
      <c r="P14" s="126">
        <v>146</v>
      </c>
      <c r="Q14" s="168">
        <v>0.28299999999999997</v>
      </c>
      <c r="R14" s="129">
        <v>250</v>
      </c>
      <c r="S14" s="168">
        <v>0.32200000000000001</v>
      </c>
      <c r="T14" s="126">
        <v>310</v>
      </c>
      <c r="U14" s="168">
        <v>0.308</v>
      </c>
      <c r="V14" s="308"/>
      <c r="W14" s="126">
        <v>136</v>
      </c>
      <c r="X14" s="169">
        <v>0.29199999999999998</v>
      </c>
      <c r="Y14" s="1"/>
      <c r="Z14" s="241"/>
      <c r="AA14" s="86" t="s">
        <v>79</v>
      </c>
      <c r="AB14" s="129">
        <v>17</v>
      </c>
      <c r="AC14" s="169">
        <v>0.30199999999999999</v>
      </c>
      <c r="AD14" s="126">
        <v>155</v>
      </c>
      <c r="AE14" s="169">
        <v>0.27700000000000002</v>
      </c>
      <c r="AF14" s="126">
        <v>146</v>
      </c>
      <c r="AG14" s="168">
        <v>0.28299999999999997</v>
      </c>
      <c r="AH14" s="126">
        <v>250</v>
      </c>
      <c r="AI14" s="169">
        <v>0.32200000000000001</v>
      </c>
      <c r="AJ14" s="126">
        <v>279</v>
      </c>
      <c r="AK14" s="169">
        <v>0.30599999999999999</v>
      </c>
      <c r="AL14" s="126">
        <v>121</v>
      </c>
      <c r="AM14" s="168">
        <v>0.29099999999999998</v>
      </c>
      <c r="AN14" s="126">
        <v>6</v>
      </c>
      <c r="AO14" s="169">
        <v>0.158</v>
      </c>
      <c r="AP14" s="126">
        <v>13</v>
      </c>
      <c r="AQ14" s="169">
        <v>0.11799999999999999</v>
      </c>
      <c r="AR14" s="126">
        <v>9</v>
      </c>
      <c r="AS14" s="169">
        <v>0.10199999999999999</v>
      </c>
    </row>
    <row r="15" spans="1:45">
      <c r="A15" s="1"/>
      <c r="B15" s="1"/>
      <c r="C15" s="239" t="s">
        <v>396</v>
      </c>
      <c r="D15" s="87" t="s">
        <v>93</v>
      </c>
      <c r="E15" s="134">
        <f t="shared" si="0"/>
        <v>513</v>
      </c>
      <c r="F15" s="142">
        <f t="shared" si="3"/>
        <v>0.58097395243488104</v>
      </c>
      <c r="G15" s="132">
        <f t="shared" si="2"/>
        <v>986</v>
      </c>
      <c r="H15" s="142">
        <f t="shared" si="4"/>
        <v>0.60639606396063961</v>
      </c>
      <c r="I15" s="132">
        <f t="shared" si="1"/>
        <v>602</v>
      </c>
      <c r="J15" s="150">
        <f t="shared" si="5"/>
        <v>0.60381143430290873</v>
      </c>
      <c r="K15" s="128">
        <v>41</v>
      </c>
      <c r="L15" s="170">
        <v>0.78200000000000003</v>
      </c>
      <c r="M15" s="127">
        <v>359</v>
      </c>
      <c r="N15" s="170">
        <v>0.71299999999999997</v>
      </c>
      <c r="O15" s="306">
        <v>0.96</v>
      </c>
      <c r="P15" s="127">
        <v>329</v>
      </c>
      <c r="Q15" s="170">
        <v>0.70899999999999996</v>
      </c>
      <c r="R15" s="128">
        <v>472</v>
      </c>
      <c r="S15" s="170">
        <v>0.67200000000000004</v>
      </c>
      <c r="T15" s="127">
        <v>627</v>
      </c>
      <c r="U15" s="170">
        <v>0.66300000000000003</v>
      </c>
      <c r="V15" s="306">
        <v>0.85</v>
      </c>
      <c r="W15" s="127">
        <v>273</v>
      </c>
      <c r="X15" s="165">
        <v>0.627</v>
      </c>
      <c r="Y15" s="1"/>
      <c r="Z15" s="239" t="s">
        <v>396</v>
      </c>
      <c r="AA15" s="87" t="s">
        <v>93</v>
      </c>
      <c r="AB15" s="128">
        <v>41</v>
      </c>
      <c r="AC15" s="165">
        <v>0.78200000000000003</v>
      </c>
      <c r="AD15" s="127">
        <v>359</v>
      </c>
      <c r="AE15" s="165">
        <v>0.71299999999999997</v>
      </c>
      <c r="AF15" s="127">
        <v>329</v>
      </c>
      <c r="AG15" s="170">
        <v>0.70899999999999996</v>
      </c>
      <c r="AH15" s="127">
        <v>472</v>
      </c>
      <c r="AI15" s="165">
        <v>0.67200000000000004</v>
      </c>
      <c r="AJ15" s="127">
        <v>566</v>
      </c>
      <c r="AK15" s="165">
        <v>0.66200000000000003</v>
      </c>
      <c r="AL15" s="127">
        <v>240</v>
      </c>
      <c r="AM15" s="170">
        <v>0.621</v>
      </c>
      <c r="AN15" s="127">
        <v>28</v>
      </c>
      <c r="AO15" s="165">
        <v>0.89200000000000002</v>
      </c>
      <c r="AP15" s="127">
        <v>88</v>
      </c>
      <c r="AQ15" s="165">
        <v>0.92700000000000005</v>
      </c>
      <c r="AR15" s="127">
        <v>71</v>
      </c>
      <c r="AS15" s="165">
        <v>0.92500000000000004</v>
      </c>
    </row>
    <row r="16" spans="1:45">
      <c r="A16" s="1"/>
      <c r="B16" s="1"/>
      <c r="C16" s="240"/>
      <c r="D16" s="88">
        <v>1</v>
      </c>
      <c r="E16" s="135">
        <f t="shared" si="0"/>
        <v>176</v>
      </c>
      <c r="F16" s="140">
        <f t="shared" si="3"/>
        <v>0.19932049830124576</v>
      </c>
      <c r="G16" s="5">
        <f t="shared" si="2"/>
        <v>320</v>
      </c>
      <c r="H16" s="140">
        <f t="shared" si="4"/>
        <v>0.1968019680196802</v>
      </c>
      <c r="I16" s="5">
        <f t="shared" si="1"/>
        <v>203</v>
      </c>
      <c r="J16" s="151">
        <f t="shared" si="5"/>
        <v>0.20361083249749248</v>
      </c>
      <c r="K16" s="130">
        <v>10</v>
      </c>
      <c r="L16" s="166">
        <v>0.112</v>
      </c>
      <c r="M16" s="125">
        <v>103</v>
      </c>
      <c r="N16" s="166">
        <v>0.15</v>
      </c>
      <c r="O16" s="307"/>
      <c r="P16" s="125">
        <v>97</v>
      </c>
      <c r="Q16" s="166">
        <v>0.153</v>
      </c>
      <c r="R16" s="130">
        <v>166</v>
      </c>
      <c r="S16" s="166">
        <v>0.17699999999999999</v>
      </c>
      <c r="T16" s="125">
        <v>217</v>
      </c>
      <c r="U16" s="166">
        <v>0.17399999999999999</v>
      </c>
      <c r="V16" s="307"/>
      <c r="W16" s="125">
        <v>106</v>
      </c>
      <c r="X16" s="167">
        <v>0.188</v>
      </c>
      <c r="Y16" s="1"/>
      <c r="Z16" s="240"/>
      <c r="AA16" s="88">
        <v>1</v>
      </c>
      <c r="AB16" s="130">
        <v>10</v>
      </c>
      <c r="AC16" s="167">
        <v>0.112</v>
      </c>
      <c r="AD16" s="125">
        <v>103</v>
      </c>
      <c r="AE16" s="167">
        <v>0.15</v>
      </c>
      <c r="AF16" s="125">
        <v>97</v>
      </c>
      <c r="AG16" s="166">
        <v>0.153</v>
      </c>
      <c r="AH16" s="125">
        <v>166</v>
      </c>
      <c r="AI16" s="167">
        <v>0.17699999999999999</v>
      </c>
      <c r="AJ16" s="125">
        <v>199</v>
      </c>
      <c r="AK16" s="167">
        <v>0.17799999999999999</v>
      </c>
      <c r="AL16" s="125">
        <v>97</v>
      </c>
      <c r="AM16" s="166">
        <v>0.19400000000000001</v>
      </c>
      <c r="AN16" s="125">
        <v>3</v>
      </c>
      <c r="AO16" s="167">
        <v>6.8000000000000005E-2</v>
      </c>
      <c r="AP16" s="125">
        <v>8</v>
      </c>
      <c r="AQ16" s="167">
        <v>7.0999999999999994E-2</v>
      </c>
      <c r="AR16" s="125">
        <v>7</v>
      </c>
      <c r="AS16" s="167">
        <v>7.1999999999999995E-2</v>
      </c>
    </row>
    <row r="17" spans="1:45">
      <c r="A17" s="1"/>
      <c r="B17" s="1"/>
      <c r="C17" s="240"/>
      <c r="D17" s="88">
        <v>2</v>
      </c>
      <c r="E17" s="135">
        <f t="shared" si="0"/>
        <v>114</v>
      </c>
      <c r="F17" s="140">
        <f t="shared" si="3"/>
        <v>0.12910532276330691</v>
      </c>
      <c r="G17" s="5">
        <f t="shared" si="2"/>
        <v>189</v>
      </c>
      <c r="H17" s="140">
        <f t="shared" si="4"/>
        <v>0.11623616236162361</v>
      </c>
      <c r="I17" s="5">
        <f t="shared" si="1"/>
        <v>115</v>
      </c>
      <c r="J17" s="151">
        <f t="shared" si="5"/>
        <v>0.11534603811434303</v>
      </c>
      <c r="K17" s="130">
        <v>8</v>
      </c>
      <c r="L17" s="166">
        <v>8.3000000000000004E-2</v>
      </c>
      <c r="M17" s="125">
        <v>67</v>
      </c>
      <c r="N17" s="166">
        <v>9.7000000000000003E-2</v>
      </c>
      <c r="O17" s="307"/>
      <c r="P17" s="125">
        <v>63</v>
      </c>
      <c r="Q17" s="166">
        <v>9.7000000000000003E-2</v>
      </c>
      <c r="R17" s="130">
        <v>106</v>
      </c>
      <c r="S17" s="166">
        <v>0.09</v>
      </c>
      <c r="T17" s="125">
        <v>122</v>
      </c>
      <c r="U17" s="166">
        <v>9.5000000000000001E-2</v>
      </c>
      <c r="V17" s="307"/>
      <c r="W17" s="125">
        <v>52</v>
      </c>
      <c r="X17" s="167">
        <v>0.10199999999999999</v>
      </c>
      <c r="Y17" s="1"/>
      <c r="Z17" s="240"/>
      <c r="AA17" s="88">
        <v>2</v>
      </c>
      <c r="AB17" s="130">
        <v>8</v>
      </c>
      <c r="AC17" s="167">
        <v>8.3000000000000004E-2</v>
      </c>
      <c r="AD17" s="125">
        <v>67</v>
      </c>
      <c r="AE17" s="167">
        <v>9.7000000000000003E-2</v>
      </c>
      <c r="AF17" s="125">
        <v>63</v>
      </c>
      <c r="AG17" s="166">
        <v>9.7000000000000003E-2</v>
      </c>
      <c r="AH17" s="125">
        <v>106</v>
      </c>
      <c r="AI17" s="167">
        <v>0.09</v>
      </c>
      <c r="AJ17" s="125">
        <v>112</v>
      </c>
      <c r="AK17" s="167">
        <v>9.7000000000000003E-2</v>
      </c>
      <c r="AL17" s="125">
        <v>47</v>
      </c>
      <c r="AM17" s="166">
        <v>0.104</v>
      </c>
      <c r="AN17" s="125">
        <v>1</v>
      </c>
      <c r="AO17" s="167">
        <v>1.9E-2</v>
      </c>
      <c r="AP17" s="125">
        <v>1</v>
      </c>
      <c r="AQ17" s="167">
        <v>2E-3</v>
      </c>
      <c r="AR17" s="125">
        <v>1</v>
      </c>
      <c r="AS17" s="167">
        <v>3.0000000000000001E-3</v>
      </c>
    </row>
    <row r="18" spans="1:45">
      <c r="A18" s="1"/>
      <c r="B18" s="1"/>
      <c r="C18" s="241"/>
      <c r="D18" s="89" t="s">
        <v>94</v>
      </c>
      <c r="E18" s="131">
        <f t="shared" si="0"/>
        <v>80</v>
      </c>
      <c r="F18" s="147">
        <f t="shared" si="3"/>
        <v>9.0600226500566247E-2</v>
      </c>
      <c r="G18" s="133">
        <f t="shared" si="2"/>
        <v>131</v>
      </c>
      <c r="H18" s="147">
        <f t="shared" si="4"/>
        <v>8.0565805658056586E-2</v>
      </c>
      <c r="I18" s="133">
        <f t="shared" si="1"/>
        <v>77</v>
      </c>
      <c r="J18" s="152">
        <f t="shared" si="5"/>
        <v>7.7231695085255764E-2</v>
      </c>
      <c r="K18" s="129">
        <v>3</v>
      </c>
      <c r="L18" s="168">
        <v>2.3E-2</v>
      </c>
      <c r="M18" s="126">
        <v>34</v>
      </c>
      <c r="N18" s="168">
        <v>0.04</v>
      </c>
      <c r="O18" s="308"/>
      <c r="P18" s="126">
        <v>31</v>
      </c>
      <c r="Q18" s="168">
        <v>0.04</v>
      </c>
      <c r="R18" s="129">
        <v>77</v>
      </c>
      <c r="S18" s="168">
        <v>6.0999999999999999E-2</v>
      </c>
      <c r="T18" s="126">
        <v>97</v>
      </c>
      <c r="U18" s="168">
        <v>6.8000000000000005E-2</v>
      </c>
      <c r="V18" s="308"/>
      <c r="W18" s="126">
        <v>46</v>
      </c>
      <c r="X18" s="169">
        <v>8.3000000000000004E-2</v>
      </c>
      <c r="Y18" s="1"/>
      <c r="Z18" s="241"/>
      <c r="AA18" s="89" t="s">
        <v>94</v>
      </c>
      <c r="AB18" s="129">
        <v>3</v>
      </c>
      <c r="AC18" s="169">
        <v>2.3E-2</v>
      </c>
      <c r="AD18" s="126">
        <v>34</v>
      </c>
      <c r="AE18" s="169">
        <v>0.04</v>
      </c>
      <c r="AF18" s="126">
        <v>31</v>
      </c>
      <c r="AG18" s="168">
        <v>0.04</v>
      </c>
      <c r="AH18" s="126">
        <v>77</v>
      </c>
      <c r="AI18" s="169">
        <v>6.0999999999999999E-2</v>
      </c>
      <c r="AJ18" s="126">
        <v>82</v>
      </c>
      <c r="AK18" s="169">
        <v>6.4000000000000001E-2</v>
      </c>
      <c r="AL18" s="126">
        <v>39</v>
      </c>
      <c r="AM18" s="168">
        <v>8.1000000000000003E-2</v>
      </c>
      <c r="AN18" s="126">
        <v>1</v>
      </c>
      <c r="AO18" s="169">
        <v>2.1999999999999999E-2</v>
      </c>
      <c r="AP18" s="133" t="s">
        <v>3</v>
      </c>
      <c r="AQ18" s="169" t="s">
        <v>3</v>
      </c>
      <c r="AR18" s="133" t="s">
        <v>3</v>
      </c>
      <c r="AS18" s="169" t="s">
        <v>3</v>
      </c>
    </row>
    <row r="19" spans="1:45">
      <c r="A19" s="1"/>
      <c r="B19" s="1"/>
      <c r="C19" s="240" t="s">
        <v>395</v>
      </c>
      <c r="D19" s="91" t="s">
        <v>7</v>
      </c>
      <c r="E19" s="135">
        <f t="shared" si="0"/>
        <v>52</v>
      </c>
      <c r="F19" s="140">
        <f t="shared" si="3"/>
        <v>5.8890147225368061E-2</v>
      </c>
      <c r="G19" s="5">
        <f t="shared" si="2"/>
        <v>380</v>
      </c>
      <c r="H19" s="140">
        <f t="shared" si="4"/>
        <v>0.23370233702337023</v>
      </c>
      <c r="I19" s="5">
        <f t="shared" si="1"/>
        <v>343</v>
      </c>
      <c r="J19" s="151">
        <f t="shared" si="5"/>
        <v>0.34403209628886661</v>
      </c>
      <c r="K19" s="130">
        <v>4</v>
      </c>
      <c r="L19" s="166">
        <v>3.7999999999999999E-2</v>
      </c>
      <c r="M19" s="125">
        <v>183</v>
      </c>
      <c r="N19" s="166">
        <v>0.32900000000000001</v>
      </c>
      <c r="O19" s="306">
        <v>0</v>
      </c>
      <c r="P19" s="125">
        <v>181</v>
      </c>
      <c r="Q19" s="166">
        <v>0.35399999999999998</v>
      </c>
      <c r="R19" s="130">
        <v>48</v>
      </c>
      <c r="S19" s="166">
        <v>4.5999999999999999E-2</v>
      </c>
      <c r="T19" s="125">
        <v>197</v>
      </c>
      <c r="U19" s="166">
        <v>0.183</v>
      </c>
      <c r="V19" s="306">
        <v>0</v>
      </c>
      <c r="W19" s="125">
        <v>162</v>
      </c>
      <c r="X19" s="167">
        <v>0.36499999999999999</v>
      </c>
      <c r="Y19" s="1"/>
      <c r="Z19" s="239" t="s">
        <v>395</v>
      </c>
      <c r="AA19" s="90" t="s">
        <v>7</v>
      </c>
      <c r="AB19" s="128">
        <v>4</v>
      </c>
      <c r="AC19" s="165">
        <v>3.7999999999999999E-2</v>
      </c>
      <c r="AD19" s="127">
        <v>183</v>
      </c>
      <c r="AE19" s="165">
        <v>0.32900000000000001</v>
      </c>
      <c r="AF19" s="127">
        <v>181</v>
      </c>
      <c r="AG19" s="170">
        <v>0.35399999999999998</v>
      </c>
      <c r="AH19" s="127">
        <v>48</v>
      </c>
      <c r="AI19" s="165">
        <v>4.5999999999999999E-2</v>
      </c>
      <c r="AJ19" s="127">
        <v>187</v>
      </c>
      <c r="AK19" s="165">
        <v>0.193</v>
      </c>
      <c r="AL19" s="127">
        <v>153</v>
      </c>
      <c r="AM19" s="170">
        <v>0.39400000000000002</v>
      </c>
      <c r="AN19" s="132" t="s">
        <v>3</v>
      </c>
      <c r="AO19" s="165" t="s">
        <v>3</v>
      </c>
      <c r="AP19" s="127">
        <v>24</v>
      </c>
      <c r="AQ19" s="165">
        <v>0.26600000000000001</v>
      </c>
      <c r="AR19" s="127">
        <v>24</v>
      </c>
      <c r="AS19" s="165">
        <v>0.315</v>
      </c>
    </row>
    <row r="20" spans="1:45">
      <c r="A20" s="1"/>
      <c r="B20" s="1"/>
      <c r="C20" s="240"/>
      <c r="D20" s="91" t="s">
        <v>8</v>
      </c>
      <c r="E20" s="135">
        <f t="shared" si="0"/>
        <v>280</v>
      </c>
      <c r="F20" s="140">
        <f t="shared" si="3"/>
        <v>0.31710079275198189</v>
      </c>
      <c r="G20" s="5">
        <f t="shared" si="2"/>
        <v>493</v>
      </c>
      <c r="H20" s="140">
        <f t="shared" si="4"/>
        <v>0.3031980319803198</v>
      </c>
      <c r="I20" s="5">
        <f t="shared" si="1"/>
        <v>305</v>
      </c>
      <c r="J20" s="151">
        <f t="shared" si="5"/>
        <v>0.30591775325977932</v>
      </c>
      <c r="K20" s="130">
        <v>46</v>
      </c>
      <c r="L20" s="166">
        <v>0.73599999999999999</v>
      </c>
      <c r="M20" s="125">
        <v>254</v>
      </c>
      <c r="N20" s="166">
        <v>0.45800000000000002</v>
      </c>
      <c r="O20" s="307"/>
      <c r="P20" s="125">
        <v>221</v>
      </c>
      <c r="Q20" s="166">
        <v>0.433</v>
      </c>
      <c r="R20" s="130">
        <v>234</v>
      </c>
      <c r="S20" s="166">
        <v>0.23100000000000001</v>
      </c>
      <c r="T20" s="125">
        <v>239</v>
      </c>
      <c r="U20" s="166">
        <v>0.183</v>
      </c>
      <c r="V20" s="307"/>
      <c r="W20" s="125">
        <v>84</v>
      </c>
      <c r="X20" s="167">
        <v>0.13100000000000001</v>
      </c>
      <c r="Y20" s="1"/>
      <c r="Z20" s="240"/>
      <c r="AA20" s="91" t="s">
        <v>8</v>
      </c>
      <c r="AB20" s="130">
        <v>46</v>
      </c>
      <c r="AC20" s="167">
        <v>0.73599999999999999</v>
      </c>
      <c r="AD20" s="125">
        <v>254</v>
      </c>
      <c r="AE20" s="167">
        <v>0.45800000000000002</v>
      </c>
      <c r="AF20" s="125">
        <v>221</v>
      </c>
      <c r="AG20" s="166">
        <v>0.433</v>
      </c>
      <c r="AH20" s="125">
        <v>234</v>
      </c>
      <c r="AI20" s="167">
        <v>0.23100000000000001</v>
      </c>
      <c r="AJ20" s="125">
        <v>209</v>
      </c>
      <c r="AK20" s="167">
        <v>0.17499999999999999</v>
      </c>
      <c r="AL20" s="125">
        <v>72</v>
      </c>
      <c r="AM20" s="166">
        <v>0.124</v>
      </c>
      <c r="AN20" s="125">
        <v>27</v>
      </c>
      <c r="AO20" s="167">
        <v>0.85199999999999998</v>
      </c>
      <c r="AP20" s="125">
        <v>54</v>
      </c>
      <c r="AQ20" s="167">
        <v>0.56699999999999995</v>
      </c>
      <c r="AR20" s="125">
        <v>37</v>
      </c>
      <c r="AS20" s="167">
        <v>0.498</v>
      </c>
    </row>
    <row r="21" spans="1:45">
      <c r="A21" s="1"/>
      <c r="B21" s="1"/>
      <c r="C21" s="240"/>
      <c r="D21" s="85" t="s">
        <v>9</v>
      </c>
      <c r="E21" s="135">
        <f t="shared" si="0"/>
        <v>546</v>
      </c>
      <c r="F21" s="140">
        <f t="shared" si="3"/>
        <v>0.61834654586636462</v>
      </c>
      <c r="G21" s="5">
        <f t="shared" si="2"/>
        <v>747</v>
      </c>
      <c r="H21" s="140">
        <f t="shared" si="4"/>
        <v>0.45940959409594095</v>
      </c>
      <c r="I21" s="5">
        <f t="shared" si="1"/>
        <v>347</v>
      </c>
      <c r="J21" s="151">
        <f t="shared" si="5"/>
        <v>0.34804413239719156</v>
      </c>
      <c r="K21" s="130">
        <v>12</v>
      </c>
      <c r="L21" s="166">
        <v>0.22600000000000001</v>
      </c>
      <c r="M21" s="125">
        <v>124</v>
      </c>
      <c r="N21" s="166">
        <v>0.20799999999999999</v>
      </c>
      <c r="O21" s="307"/>
      <c r="P21" s="125">
        <v>116</v>
      </c>
      <c r="Q21" s="166">
        <v>0.20699999999999999</v>
      </c>
      <c r="R21" s="130">
        <v>534</v>
      </c>
      <c r="S21" s="166">
        <v>0.71499999999999997</v>
      </c>
      <c r="T21" s="125">
        <v>623</v>
      </c>
      <c r="U21" s="166">
        <v>0.629</v>
      </c>
      <c r="V21" s="307"/>
      <c r="W21" s="125">
        <v>231</v>
      </c>
      <c r="X21" s="167">
        <v>0.505</v>
      </c>
      <c r="Y21" s="1"/>
      <c r="Z21" s="240"/>
      <c r="AA21" s="85" t="s">
        <v>9</v>
      </c>
      <c r="AB21" s="130">
        <v>12</v>
      </c>
      <c r="AC21" s="167">
        <v>0.22600000000000001</v>
      </c>
      <c r="AD21" s="125">
        <v>124</v>
      </c>
      <c r="AE21" s="167">
        <v>0.20799999999999999</v>
      </c>
      <c r="AF21" s="125">
        <v>116</v>
      </c>
      <c r="AG21" s="166">
        <v>0.20699999999999999</v>
      </c>
      <c r="AH21" s="125">
        <v>534</v>
      </c>
      <c r="AI21" s="167">
        <v>0.71499999999999997</v>
      </c>
      <c r="AJ21" s="125">
        <v>560</v>
      </c>
      <c r="AK21" s="167">
        <v>0.627</v>
      </c>
      <c r="AL21" s="125">
        <v>198</v>
      </c>
      <c r="AM21" s="166">
        <v>0.48199999999999998</v>
      </c>
      <c r="AN21" s="125">
        <v>1</v>
      </c>
      <c r="AO21" s="167">
        <v>1.9E-2</v>
      </c>
      <c r="AP21" s="125">
        <v>7</v>
      </c>
      <c r="AQ21" s="167">
        <v>7.6999999999999999E-2</v>
      </c>
      <c r="AR21" s="125">
        <v>7</v>
      </c>
      <c r="AS21" s="167">
        <v>9.1999999999999998E-2</v>
      </c>
    </row>
    <row r="22" spans="1:45">
      <c r="A22" s="1"/>
      <c r="B22" s="1"/>
      <c r="C22" s="240"/>
      <c r="D22" s="85" t="s">
        <v>10</v>
      </c>
      <c r="E22" s="135" t="e">
        <f t="shared" si="0"/>
        <v>#VALUE!</v>
      </c>
      <c r="F22" s="140" t="e">
        <f t="shared" si="3"/>
        <v>#VALUE!</v>
      </c>
      <c r="G22" s="5">
        <f t="shared" si="2"/>
        <v>6</v>
      </c>
      <c r="H22" s="140">
        <f t="shared" si="4"/>
        <v>3.6900369003690036E-3</v>
      </c>
      <c r="I22" s="5" t="e">
        <f t="shared" si="1"/>
        <v>#VALUE!</v>
      </c>
      <c r="J22" s="151" t="e">
        <f t="shared" si="5"/>
        <v>#VALUE!</v>
      </c>
      <c r="K22" s="131" t="s">
        <v>3</v>
      </c>
      <c r="L22" s="168">
        <v>0</v>
      </c>
      <c r="M22" s="125">
        <v>2</v>
      </c>
      <c r="N22" s="166">
        <v>5.0000000000000001E-3</v>
      </c>
      <c r="O22" s="308"/>
      <c r="P22" s="125">
        <v>2</v>
      </c>
      <c r="Q22" s="166">
        <v>6.0000000000000001E-3</v>
      </c>
      <c r="R22" s="131">
        <v>5</v>
      </c>
      <c r="S22" s="168">
        <v>7.0000000000000001E-3</v>
      </c>
      <c r="T22" s="125">
        <v>4</v>
      </c>
      <c r="U22" s="166">
        <v>5.0000000000000001E-3</v>
      </c>
      <c r="V22" s="308"/>
      <c r="W22" s="5" t="s">
        <v>3</v>
      </c>
      <c r="X22" s="167">
        <v>0</v>
      </c>
      <c r="Y22" s="1"/>
      <c r="Z22" s="241"/>
      <c r="AA22" s="86" t="s">
        <v>10</v>
      </c>
      <c r="AB22" s="131" t="s">
        <v>3</v>
      </c>
      <c r="AC22" s="169">
        <v>0</v>
      </c>
      <c r="AD22" s="126">
        <v>2</v>
      </c>
      <c r="AE22" s="169">
        <v>5.0000000000000001E-3</v>
      </c>
      <c r="AF22" s="126">
        <v>2</v>
      </c>
      <c r="AG22" s="168">
        <v>6.0000000000000001E-3</v>
      </c>
      <c r="AH22" s="133">
        <v>5</v>
      </c>
      <c r="AI22" s="169">
        <v>7.0000000000000001E-3</v>
      </c>
      <c r="AJ22" s="126">
        <v>3</v>
      </c>
      <c r="AK22" s="169">
        <v>5.0000000000000001E-3</v>
      </c>
      <c r="AL22" s="133" t="s">
        <v>3</v>
      </c>
      <c r="AM22" s="168" t="s">
        <v>3</v>
      </c>
      <c r="AN22" s="133" t="s">
        <v>3</v>
      </c>
      <c r="AO22" s="169" t="s">
        <v>3</v>
      </c>
      <c r="AP22" s="133" t="s">
        <v>3</v>
      </c>
      <c r="AQ22" s="169" t="s">
        <v>3</v>
      </c>
      <c r="AR22" s="133" t="s">
        <v>3</v>
      </c>
      <c r="AS22" s="169" t="s">
        <v>3</v>
      </c>
    </row>
    <row r="23" spans="1:45" ht="15.95" customHeight="1">
      <c r="A23" s="1"/>
      <c r="B23" s="1"/>
      <c r="C23" s="174"/>
      <c r="D23" s="85"/>
      <c r="E23" s="135"/>
      <c r="F23" s="140"/>
      <c r="G23" s="5"/>
      <c r="H23" s="140"/>
      <c r="I23" s="5"/>
      <c r="J23" s="151"/>
      <c r="K23" s="135"/>
      <c r="L23" s="166"/>
      <c r="M23" s="125"/>
      <c r="N23" s="166"/>
      <c r="O23" s="175"/>
      <c r="P23" s="125"/>
      <c r="Q23" s="166"/>
      <c r="R23" s="135"/>
      <c r="S23" s="166"/>
      <c r="T23" s="125"/>
      <c r="U23" s="166"/>
      <c r="V23" s="175"/>
      <c r="W23" s="5"/>
      <c r="X23" s="167"/>
      <c r="Y23" s="1"/>
      <c r="Z23" s="272" t="s">
        <v>280</v>
      </c>
      <c r="AA23" s="193" t="s">
        <v>415</v>
      </c>
      <c r="AB23" s="5" t="s">
        <v>3</v>
      </c>
      <c r="AC23" s="167" t="s">
        <v>3</v>
      </c>
      <c r="AD23" s="125" t="s">
        <v>3</v>
      </c>
      <c r="AE23" s="167" t="s">
        <v>3</v>
      </c>
      <c r="AF23" s="125" t="s">
        <v>3</v>
      </c>
      <c r="AG23" s="166" t="s">
        <v>3</v>
      </c>
      <c r="AH23" s="5" t="s">
        <v>3</v>
      </c>
      <c r="AI23" s="167" t="s">
        <v>3</v>
      </c>
      <c r="AJ23" s="125" t="s">
        <v>3</v>
      </c>
      <c r="AK23" s="167" t="s">
        <v>3</v>
      </c>
      <c r="AL23" s="5" t="s">
        <v>3</v>
      </c>
      <c r="AM23" s="166" t="s">
        <v>3</v>
      </c>
      <c r="AN23" s="5">
        <v>33</v>
      </c>
      <c r="AO23" s="167">
        <v>1</v>
      </c>
      <c r="AP23" s="125">
        <v>97</v>
      </c>
      <c r="AQ23" s="167">
        <v>1</v>
      </c>
      <c r="AR23" s="5">
        <v>79</v>
      </c>
      <c r="AS23" s="167">
        <v>1</v>
      </c>
    </row>
    <row r="24" spans="1:45" ht="15.95" customHeight="1">
      <c r="A24" s="1"/>
      <c r="B24" s="1"/>
      <c r="C24" s="239" t="s">
        <v>280</v>
      </c>
      <c r="D24" s="87" t="s">
        <v>73</v>
      </c>
      <c r="E24" s="134">
        <f t="shared" si="0"/>
        <v>153</v>
      </c>
      <c r="F24" s="142">
        <f t="shared" si="3"/>
        <v>0.17327293318233294</v>
      </c>
      <c r="G24" s="132">
        <f t="shared" si="2"/>
        <v>262</v>
      </c>
      <c r="H24" s="142">
        <f t="shared" si="4"/>
        <v>0.16113161131611317</v>
      </c>
      <c r="I24" s="132">
        <f t="shared" si="1"/>
        <v>157</v>
      </c>
      <c r="J24" s="150">
        <f t="shared" si="5"/>
        <v>0.15747241725175526</v>
      </c>
      <c r="K24" s="128">
        <v>13</v>
      </c>
      <c r="L24" s="170">
        <v>0.308</v>
      </c>
      <c r="M24" s="127">
        <v>109</v>
      </c>
      <c r="N24" s="170">
        <v>0.24099999999999999</v>
      </c>
      <c r="O24" s="306">
        <v>0.15</v>
      </c>
      <c r="P24" s="127">
        <v>103</v>
      </c>
      <c r="Q24" s="170">
        <v>0.24399999999999999</v>
      </c>
      <c r="R24" s="128">
        <v>140</v>
      </c>
      <c r="S24" s="170">
        <v>0.223</v>
      </c>
      <c r="T24" s="127">
        <v>153</v>
      </c>
      <c r="U24" s="170">
        <v>0.184</v>
      </c>
      <c r="V24" s="306">
        <v>0.04</v>
      </c>
      <c r="W24" s="127">
        <v>54</v>
      </c>
      <c r="X24" s="165">
        <v>0.13600000000000001</v>
      </c>
      <c r="Y24" s="1"/>
      <c r="Z24" s="273"/>
      <c r="AA24" s="85" t="s">
        <v>73</v>
      </c>
      <c r="AB24" s="130">
        <v>13</v>
      </c>
      <c r="AC24" s="167">
        <v>0.308</v>
      </c>
      <c r="AD24" s="125">
        <v>109</v>
      </c>
      <c r="AE24" s="167">
        <v>0.24099999999999999</v>
      </c>
      <c r="AF24" s="125">
        <v>103</v>
      </c>
      <c r="AG24" s="166">
        <v>0.24399999999999999</v>
      </c>
      <c r="AH24" s="125">
        <v>140</v>
      </c>
      <c r="AI24" s="167">
        <v>0.223</v>
      </c>
      <c r="AJ24" s="125">
        <v>141</v>
      </c>
      <c r="AK24" s="167">
        <v>0.19</v>
      </c>
      <c r="AL24" s="125">
        <v>48</v>
      </c>
      <c r="AM24" s="166">
        <v>0.13600000000000001</v>
      </c>
      <c r="AN24" s="5" t="s">
        <v>3</v>
      </c>
      <c r="AO24" s="167" t="s">
        <v>3</v>
      </c>
      <c r="AP24" s="5" t="s">
        <v>3</v>
      </c>
      <c r="AQ24" s="167" t="s">
        <v>3</v>
      </c>
      <c r="AR24" s="5" t="s">
        <v>3</v>
      </c>
      <c r="AS24" s="167" t="s">
        <v>3</v>
      </c>
    </row>
    <row r="25" spans="1:45">
      <c r="A25" s="1"/>
      <c r="B25" s="1"/>
      <c r="C25" s="240"/>
      <c r="D25" s="85" t="s">
        <v>12</v>
      </c>
      <c r="E25" s="135">
        <f t="shared" si="0"/>
        <v>484</v>
      </c>
      <c r="F25" s="140">
        <f t="shared" si="3"/>
        <v>0.54813137032842585</v>
      </c>
      <c r="G25" s="5">
        <f t="shared" si="2"/>
        <v>1010</v>
      </c>
      <c r="H25" s="140">
        <f t="shared" si="4"/>
        <v>0.62115621156211565</v>
      </c>
      <c r="I25" s="5">
        <f t="shared" si="1"/>
        <v>649</v>
      </c>
      <c r="J25" s="151">
        <f t="shared" si="5"/>
        <v>0.65095285857572716</v>
      </c>
      <c r="K25" s="130">
        <v>34</v>
      </c>
      <c r="L25" s="166">
        <v>0.58299999999999996</v>
      </c>
      <c r="M25" s="125">
        <v>368</v>
      </c>
      <c r="N25" s="166">
        <v>0.65200000000000002</v>
      </c>
      <c r="O25" s="307"/>
      <c r="P25" s="125">
        <v>341</v>
      </c>
      <c r="Q25" s="166">
        <v>0.65100000000000002</v>
      </c>
      <c r="R25" s="130">
        <v>450</v>
      </c>
      <c r="S25" s="166">
        <v>0.58499999999999996</v>
      </c>
      <c r="T25" s="125">
        <v>642</v>
      </c>
      <c r="U25" s="166">
        <v>0.63700000000000001</v>
      </c>
      <c r="V25" s="307"/>
      <c r="W25" s="125">
        <v>308</v>
      </c>
      <c r="X25" s="167">
        <v>0.69</v>
      </c>
      <c r="Y25" s="1"/>
      <c r="Z25" s="273"/>
      <c r="AA25" s="85" t="s">
        <v>12</v>
      </c>
      <c r="AB25" s="130">
        <v>34</v>
      </c>
      <c r="AC25" s="167">
        <v>0.58299999999999996</v>
      </c>
      <c r="AD25" s="125">
        <v>368</v>
      </c>
      <c r="AE25" s="167">
        <v>0.65200000000000002</v>
      </c>
      <c r="AF25" s="125">
        <v>341</v>
      </c>
      <c r="AG25" s="166">
        <v>0.65100000000000002</v>
      </c>
      <c r="AH25" s="125">
        <v>450</v>
      </c>
      <c r="AI25" s="167">
        <v>0.58499999999999996</v>
      </c>
      <c r="AJ25" s="125">
        <v>582</v>
      </c>
      <c r="AK25" s="167">
        <v>0.63800000000000001</v>
      </c>
      <c r="AL25" s="125">
        <v>277</v>
      </c>
      <c r="AM25" s="166">
        <v>0.70099999999999996</v>
      </c>
      <c r="AN25" s="5" t="s">
        <v>3</v>
      </c>
      <c r="AO25" s="167" t="s">
        <v>3</v>
      </c>
      <c r="AP25" s="5" t="s">
        <v>3</v>
      </c>
      <c r="AQ25" s="167" t="s">
        <v>3</v>
      </c>
      <c r="AR25" s="5" t="s">
        <v>3</v>
      </c>
      <c r="AS25" s="167" t="s">
        <v>3</v>
      </c>
    </row>
    <row r="26" spans="1:45" ht="16.5" thickBot="1">
      <c r="A26" s="1"/>
      <c r="B26" s="1"/>
      <c r="C26" s="244"/>
      <c r="D26" s="94" t="s">
        <v>13</v>
      </c>
      <c r="E26" s="136">
        <f t="shared" si="0"/>
        <v>246</v>
      </c>
      <c r="F26" s="143">
        <f t="shared" si="3"/>
        <v>0.27859569648924121</v>
      </c>
      <c r="G26" s="137">
        <f t="shared" si="2"/>
        <v>354</v>
      </c>
      <c r="H26" s="143">
        <f t="shared" si="4"/>
        <v>0.21771217712177121</v>
      </c>
      <c r="I26" s="137">
        <f t="shared" si="1"/>
        <v>191</v>
      </c>
      <c r="J26" s="153">
        <f t="shared" si="5"/>
        <v>0.19157472417251756</v>
      </c>
      <c r="K26" s="139">
        <v>15</v>
      </c>
      <c r="L26" s="171">
        <v>0.109</v>
      </c>
      <c r="M26" s="138">
        <v>86</v>
      </c>
      <c r="N26" s="171">
        <v>0.107</v>
      </c>
      <c r="O26" s="309"/>
      <c r="P26" s="138">
        <v>76</v>
      </c>
      <c r="Q26" s="171">
        <v>0.105</v>
      </c>
      <c r="R26" s="139">
        <v>231</v>
      </c>
      <c r="S26" s="171">
        <v>0.192</v>
      </c>
      <c r="T26" s="138">
        <v>268</v>
      </c>
      <c r="U26" s="171">
        <v>0.17899999999999999</v>
      </c>
      <c r="V26" s="309"/>
      <c r="W26" s="138">
        <v>115</v>
      </c>
      <c r="X26" s="172">
        <v>0.17399999999999999</v>
      </c>
      <c r="Y26" s="1"/>
      <c r="Z26" s="300"/>
      <c r="AA26" s="94" t="s">
        <v>13</v>
      </c>
      <c r="AB26" s="139">
        <v>15</v>
      </c>
      <c r="AC26" s="172">
        <v>0.109</v>
      </c>
      <c r="AD26" s="138">
        <v>86</v>
      </c>
      <c r="AE26" s="172">
        <v>0.107</v>
      </c>
      <c r="AF26" s="138">
        <v>76</v>
      </c>
      <c r="AG26" s="171">
        <v>0.105</v>
      </c>
      <c r="AH26" s="138">
        <v>231</v>
      </c>
      <c r="AI26" s="172">
        <v>0.192</v>
      </c>
      <c r="AJ26" s="138">
        <v>236</v>
      </c>
      <c r="AK26" s="172">
        <v>0.17199999999999999</v>
      </c>
      <c r="AL26" s="138">
        <v>98</v>
      </c>
      <c r="AM26" s="171">
        <v>0.16300000000000001</v>
      </c>
      <c r="AN26" s="137" t="s">
        <v>3</v>
      </c>
      <c r="AO26" s="172" t="s">
        <v>3</v>
      </c>
      <c r="AP26" s="137" t="s">
        <v>3</v>
      </c>
      <c r="AQ26" s="172" t="s">
        <v>3</v>
      </c>
      <c r="AR26" s="137" t="s">
        <v>3</v>
      </c>
      <c r="AS26" s="172" t="s">
        <v>3</v>
      </c>
    </row>
    <row r="27" spans="1:45">
      <c r="A27" s="1"/>
      <c r="B27" s="1"/>
      <c r="C27" s="6" t="s">
        <v>398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6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</sheetData>
  <mergeCells count="64">
    <mergeCell ref="W3:X4"/>
    <mergeCell ref="T4:U4"/>
    <mergeCell ref="R2:X2"/>
    <mergeCell ref="C10:C11"/>
    <mergeCell ref="C6:C9"/>
    <mergeCell ref="K4:L4"/>
    <mergeCell ref="M4:N4"/>
    <mergeCell ref="K2:Q2"/>
    <mergeCell ref="E4:F4"/>
    <mergeCell ref="G4:H4"/>
    <mergeCell ref="I4:J4"/>
    <mergeCell ref="E2:J2"/>
    <mergeCell ref="C2:D4"/>
    <mergeCell ref="C5:D5"/>
    <mergeCell ref="K3:L3"/>
    <mergeCell ref="V15:V18"/>
    <mergeCell ref="M3:N3"/>
    <mergeCell ref="P3:Q4"/>
    <mergeCell ref="R3:S3"/>
    <mergeCell ref="C12:C14"/>
    <mergeCell ref="C15:C18"/>
    <mergeCell ref="T3:U3"/>
    <mergeCell ref="V19:V22"/>
    <mergeCell ref="V24:V26"/>
    <mergeCell ref="C19:C22"/>
    <mergeCell ref="C24:C26"/>
    <mergeCell ref="R4:S4"/>
    <mergeCell ref="O3:O4"/>
    <mergeCell ref="V3:V4"/>
    <mergeCell ref="O6:O9"/>
    <mergeCell ref="O10:O11"/>
    <mergeCell ref="O12:O14"/>
    <mergeCell ref="O15:O18"/>
    <mergeCell ref="O19:O22"/>
    <mergeCell ref="O24:O26"/>
    <mergeCell ref="V6:V9"/>
    <mergeCell ref="V10:V11"/>
    <mergeCell ref="V12:V14"/>
    <mergeCell ref="AD4:AE4"/>
    <mergeCell ref="AH4:AI4"/>
    <mergeCell ref="AJ4:AK4"/>
    <mergeCell ref="Z5:AA5"/>
    <mergeCell ref="Z6:Z9"/>
    <mergeCell ref="Z2:AA4"/>
    <mergeCell ref="AB2:AG2"/>
    <mergeCell ref="AH2:AM2"/>
    <mergeCell ref="AB3:AC3"/>
    <mergeCell ref="AD3:AE3"/>
    <mergeCell ref="AF3:AG4"/>
    <mergeCell ref="AH3:AI3"/>
    <mergeCell ref="AJ3:AK3"/>
    <mergeCell ref="AL3:AM4"/>
    <mergeCell ref="AB4:AC4"/>
    <mergeCell ref="Z23:Z26"/>
    <mergeCell ref="Z15:Z18"/>
    <mergeCell ref="Z19:Z22"/>
    <mergeCell ref="Z10:Z11"/>
    <mergeCell ref="Z12:Z14"/>
    <mergeCell ref="AN2:AS2"/>
    <mergeCell ref="AN3:AO3"/>
    <mergeCell ref="AP3:AQ3"/>
    <mergeCell ref="AR3:AS4"/>
    <mergeCell ref="AN4:AO4"/>
    <mergeCell ref="AP4:AQ4"/>
  </mergeCells>
  <pageMargins left="0.7" right="0.7" top="0.75" bottom="0.75" header="0.3" footer="0.3"/>
  <ignoredErrors>
    <ignoredError sqref="H24:H26 F24:F26 I24:I26 G24:G26 G6:G22 I6:I22 F6:F22 H6:H2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Table1.Apr17</vt:lpstr>
      <vt:lpstr>Sheet1</vt:lpstr>
      <vt:lpstr>Figure2.Mar14</vt:lpstr>
      <vt:lpstr>Table2.Apr17</vt:lpstr>
      <vt:lpstr>Table3.Mar14</vt:lpstr>
      <vt:lpstr>cox.zph.Mar17</vt:lpstr>
      <vt:lpstr>Appendix.Apr17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Franky</dc:creator>
  <cp:lastModifiedBy>Jo,Youngji</cp:lastModifiedBy>
  <dcterms:created xsi:type="dcterms:W3CDTF">2024-10-09T15:04:08Z</dcterms:created>
  <dcterms:modified xsi:type="dcterms:W3CDTF">2025-04-27T09:58:15Z</dcterms:modified>
</cp:coreProperties>
</file>